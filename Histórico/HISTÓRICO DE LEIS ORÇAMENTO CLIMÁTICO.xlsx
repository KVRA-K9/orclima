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vinicius.farias\Desktop\Projeto_Orclima\Histórico\"/>
    </mc:Choice>
  </mc:AlternateContent>
  <xr:revisionPtr revIDLastSave="0" documentId="13_ncr:1_{0F35AC2C-7153-44DB-A54A-771CE9144CD6}" xr6:coauthVersionLast="47" xr6:coauthVersionMax="47" xr10:uidLastSave="{00000000-0000-0000-0000-000000000000}"/>
  <bookViews>
    <workbookView xWindow="-120" yWindow="-120" windowWidth="29040" windowHeight="15720" activeTab="5" xr2:uid="{00000000-000D-0000-FFFF-FFFF00000000}"/>
  </bookViews>
  <sheets>
    <sheet name="Lei Ordinária" sheetId="1" r:id="rId1"/>
    <sheet name="Decreto" sheetId="2" r:id="rId2"/>
    <sheet name="Estrutura básica da adm" sheetId="3" r:id="rId3"/>
    <sheet name="PPA" sheetId="4" r:id="rId4"/>
    <sheet name="LDO" sheetId="5" r:id="rId5"/>
    <sheet name="LOA" sheetId="6" r:id="rId6"/>
  </sheets>
  <calcPr calcId="191029"/>
  <extLst>
    <ext uri="GoogleSheetsCustomDataVersion2">
      <go:sheetsCustomData xmlns:go="http://customooxmlschemas.google.com/" r:id="rId10" roundtripDataChecksum="zRXh6c68YlfIcgfLwxIj4YKK+d79Q3/Nqx1G6LeuIRI="/>
    </ext>
  </extLst>
</workbook>
</file>

<file path=xl/calcChain.xml><?xml version="1.0" encoding="utf-8"?>
<calcChain xmlns="http://schemas.openxmlformats.org/spreadsheetml/2006/main">
  <c r="H391" i="6" l="1"/>
  <c r="H390" i="6"/>
  <c r="H388" i="6"/>
  <c r="H387" i="6"/>
  <c r="H385" i="6"/>
  <c r="H384" i="6"/>
  <c r="H383" i="6"/>
  <c r="H382" i="6"/>
  <c r="H381" i="6"/>
  <c r="H379" i="6"/>
  <c r="H378" i="6"/>
  <c r="H376" i="6"/>
  <c r="H375" i="6"/>
  <c r="H373" i="6"/>
  <c r="H372" i="6"/>
  <c r="H371" i="6"/>
  <c r="H370" i="6"/>
  <c r="H369" i="6"/>
  <c r="H368" i="6"/>
  <c r="H366" i="6"/>
  <c r="H365" i="6"/>
  <c r="H364" i="6"/>
  <c r="H363" i="6"/>
  <c r="H362" i="6"/>
  <c r="H361" i="6"/>
  <c r="H359" i="6"/>
  <c r="H358" i="6"/>
  <c r="H356" i="6"/>
  <c r="H355" i="6"/>
  <c r="H354" i="6"/>
  <c r="H353" i="6"/>
  <c r="H352" i="6"/>
  <c r="H351" i="6"/>
  <c r="H349" i="6"/>
  <c r="F349" i="6"/>
  <c r="H348" i="6"/>
  <c r="H347" i="6"/>
  <c r="F347" i="6"/>
  <c r="H346" i="6"/>
  <c r="F346" i="6"/>
  <c r="H345" i="6"/>
  <c r="H344" i="6"/>
  <c r="H342" i="6"/>
  <c r="H341" i="6"/>
  <c r="H340" i="6"/>
  <c r="H339" i="6"/>
  <c r="H338" i="6"/>
  <c r="H337" i="6"/>
  <c r="H335" i="6"/>
  <c r="H334" i="6"/>
  <c r="H333" i="6"/>
  <c r="H332" i="6"/>
  <c r="H331" i="6"/>
  <c r="H330" i="6"/>
  <c r="H328" i="6"/>
  <c r="H327" i="6"/>
  <c r="H326" i="6"/>
  <c r="H325" i="6"/>
  <c r="H324" i="6"/>
  <c r="H323" i="6"/>
  <c r="H322" i="6"/>
  <c r="H321" i="6"/>
  <c r="H320" i="6"/>
  <c r="H319" i="6"/>
  <c r="H317" i="6"/>
  <c r="H316" i="6"/>
  <c r="H315" i="6"/>
  <c r="H314" i="6"/>
  <c r="H313" i="6"/>
  <c r="H312" i="6"/>
  <c r="H311" i="6"/>
  <c r="H310" i="6"/>
  <c r="H309" i="6"/>
  <c r="H308" i="6"/>
  <c r="H307" i="6"/>
  <c r="H305" i="6"/>
  <c r="H304" i="6"/>
  <c r="H303" i="6"/>
  <c r="H302" i="6"/>
  <c r="H301" i="6"/>
  <c r="H300" i="6"/>
  <c r="H299" i="6"/>
  <c r="H298" i="6"/>
  <c r="H297" i="6"/>
  <c r="H296" i="6"/>
  <c r="H294" i="6"/>
  <c r="H293" i="6"/>
  <c r="H292" i="6"/>
  <c r="H291" i="6"/>
  <c r="H290" i="6"/>
  <c r="H289" i="6"/>
  <c r="H288" i="6"/>
  <c r="H287" i="6"/>
  <c r="H286" i="6"/>
  <c r="H285" i="6"/>
  <c r="H283" i="6"/>
  <c r="H282" i="6"/>
  <c r="H281" i="6"/>
  <c r="H280" i="6"/>
  <c r="H279" i="6"/>
  <c r="H278" i="6"/>
  <c r="H277" i="6"/>
  <c r="H276" i="6"/>
  <c r="H275" i="6"/>
  <c r="H272" i="6"/>
  <c r="H271" i="6"/>
  <c r="H270" i="6"/>
  <c r="H269" i="6"/>
  <c r="H268" i="6"/>
  <c r="H267" i="6"/>
  <c r="H266" i="6"/>
  <c r="H265" i="6"/>
  <c r="H264" i="6"/>
  <c r="H263" i="6"/>
  <c r="H260" i="6"/>
  <c r="H259" i="6"/>
  <c r="H258" i="6"/>
  <c r="H257" i="6"/>
  <c r="H256" i="6"/>
  <c r="H255" i="6"/>
  <c r="H254" i="6"/>
  <c r="H253" i="6"/>
  <c r="H252" i="6"/>
  <c r="H251" i="6"/>
  <c r="H250" i="6"/>
  <c r="H248" i="6"/>
  <c r="H247" i="6"/>
  <c r="H246" i="6"/>
  <c r="H245" i="6"/>
  <c r="H244" i="6"/>
  <c r="H243" i="6"/>
  <c r="H242" i="6"/>
  <c r="H241" i="6"/>
  <c r="H240" i="6"/>
  <c r="H239" i="6"/>
  <c r="H238" i="6"/>
  <c r="H236" i="6"/>
  <c r="H235" i="6"/>
  <c r="H234" i="6"/>
  <c r="H233" i="6"/>
  <c r="H232" i="6"/>
  <c r="H231" i="6"/>
  <c r="H230" i="6"/>
  <c r="H229" i="6"/>
  <c r="H228" i="6"/>
  <c r="H227" i="6"/>
  <c r="H226" i="6"/>
  <c r="H225" i="6"/>
  <c r="H223" i="6"/>
  <c r="H222" i="6"/>
  <c r="H221" i="6"/>
  <c r="H220" i="6"/>
  <c r="H219" i="6"/>
  <c r="H218" i="6"/>
  <c r="H217" i="6"/>
  <c r="H216" i="6"/>
  <c r="H215" i="6"/>
  <c r="H214" i="6"/>
  <c r="H213" i="6"/>
  <c r="H210" i="6"/>
  <c r="H209" i="6"/>
  <c r="H208" i="6"/>
  <c r="H207" i="6"/>
  <c r="H206" i="6"/>
  <c r="H205" i="6"/>
  <c r="H204" i="6"/>
  <c r="H203" i="6"/>
  <c r="H202" i="6"/>
  <c r="H201" i="6"/>
  <c r="H200" i="6"/>
  <c r="H198" i="6"/>
  <c r="H197" i="6"/>
  <c r="H196" i="6"/>
  <c r="H195" i="6"/>
  <c r="H194" i="6"/>
  <c r="H193" i="6"/>
  <c r="H192" i="6"/>
  <c r="H191" i="6"/>
  <c r="H190" i="6"/>
  <c r="H189" i="6"/>
  <c r="H188" i="6"/>
  <c r="H186" i="6"/>
  <c r="H185" i="6"/>
  <c r="H184" i="6"/>
  <c r="H183" i="6"/>
  <c r="H182" i="6"/>
  <c r="H181" i="6"/>
  <c r="H180" i="6"/>
  <c r="H179" i="6"/>
  <c r="H178" i="6"/>
  <c r="H177" i="6"/>
  <c r="H176" i="6"/>
  <c r="H175" i="6"/>
  <c r="H172" i="6"/>
  <c r="H171" i="6"/>
  <c r="H170" i="6"/>
  <c r="H169" i="6"/>
  <c r="H168" i="6"/>
  <c r="H167" i="6"/>
  <c r="H166" i="6"/>
  <c r="H165" i="6"/>
  <c r="H164" i="6"/>
  <c r="H163" i="6"/>
  <c r="H162" i="6"/>
  <c r="H161" i="6"/>
  <c r="H158" i="6"/>
  <c r="H157" i="6"/>
  <c r="H156" i="6"/>
  <c r="H155" i="6"/>
  <c r="H154" i="6"/>
  <c r="H153" i="6"/>
  <c r="H152" i="6"/>
  <c r="H151" i="6"/>
  <c r="H150" i="6"/>
  <c r="H149" i="6"/>
  <c r="H148" i="6"/>
  <c r="H147" i="6"/>
  <c r="H144" i="6"/>
  <c r="H143" i="6"/>
  <c r="H142" i="6"/>
  <c r="H141" i="6"/>
  <c r="H140" i="6"/>
  <c r="H139" i="6"/>
  <c r="H138" i="6"/>
  <c r="H137" i="6"/>
  <c r="H136" i="6"/>
  <c r="H135" i="6"/>
  <c r="H134" i="6"/>
  <c r="H133" i="6"/>
  <c r="H130" i="6"/>
  <c r="H129" i="6"/>
  <c r="H128" i="6"/>
  <c r="H127" i="6"/>
  <c r="H126" i="6"/>
  <c r="H125" i="6"/>
  <c r="H124" i="6"/>
  <c r="H123" i="6"/>
  <c r="H122" i="6"/>
  <c r="H121" i="6"/>
  <c r="H120" i="6"/>
  <c r="H119" i="6"/>
  <c r="H118" i="6"/>
  <c r="H117" i="6"/>
  <c r="H116" i="6"/>
  <c r="H113" i="6"/>
  <c r="H112" i="6"/>
  <c r="H111" i="6"/>
  <c r="H110" i="6"/>
  <c r="H109" i="6"/>
  <c r="H108" i="6"/>
  <c r="H107" i="6"/>
  <c r="H106" i="6"/>
  <c r="H105" i="6"/>
  <c r="H104" i="6"/>
  <c r="H103" i="6"/>
  <c r="H102" i="6"/>
  <c r="H101" i="6"/>
  <c r="H100" i="6"/>
  <c r="H97" i="6"/>
  <c r="H96" i="6"/>
  <c r="H95" i="6"/>
  <c r="H94" i="6"/>
  <c r="H93" i="6"/>
  <c r="H92" i="6"/>
  <c r="H91" i="6"/>
  <c r="H90" i="6"/>
  <c r="H89" i="6"/>
  <c r="H88" i="6"/>
  <c r="H87" i="6"/>
  <c r="H86" i="6"/>
  <c r="H85" i="6"/>
  <c r="H84" i="6"/>
  <c r="H83" i="6"/>
  <c r="H82" i="6"/>
  <c r="H79" i="6"/>
  <c r="H78" i="6"/>
  <c r="H77" i="6"/>
  <c r="H76" i="6"/>
  <c r="H75" i="6"/>
  <c r="H74" i="6"/>
  <c r="H73" i="6"/>
  <c r="H72" i="6"/>
  <c r="H71" i="6"/>
  <c r="H70" i="6"/>
  <c r="H69" i="6"/>
  <c r="H68" i="6"/>
  <c r="H67" i="6"/>
  <c r="H66" i="6"/>
  <c r="H65" i="6"/>
  <c r="H64" i="6"/>
  <c r="H61" i="6"/>
  <c r="H60" i="6"/>
  <c r="H59" i="6"/>
  <c r="H58" i="6"/>
  <c r="H57" i="6"/>
  <c r="H56" i="6"/>
  <c r="H55" i="6"/>
  <c r="H54" i="6"/>
  <c r="H53" i="6"/>
  <c r="H52" i="6"/>
  <c r="H51" i="6"/>
  <c r="H50" i="6"/>
  <c r="H49" i="6"/>
  <c r="H48" i="6"/>
  <c r="H47" i="6"/>
  <c r="H46" i="6"/>
  <c r="H45" i="6"/>
  <c r="H42" i="6"/>
  <c r="H41" i="6"/>
  <c r="H40" i="6"/>
  <c r="H39" i="6"/>
  <c r="H38" i="6"/>
  <c r="H37" i="6"/>
  <c r="H36" i="6"/>
  <c r="H35" i="6"/>
  <c r="H34" i="6"/>
  <c r="H33" i="6"/>
  <c r="H32" i="6"/>
  <c r="H31" i="6"/>
  <c r="H30" i="6"/>
  <c r="H29" i="6"/>
  <c r="H28" i="6"/>
  <c r="H27" i="6"/>
  <c r="H26" i="6"/>
  <c r="H23" i="6"/>
  <c r="H22" i="6"/>
  <c r="H21" i="6"/>
  <c r="H20" i="6"/>
  <c r="H19" i="6"/>
  <c r="H18" i="6"/>
  <c r="H17" i="6"/>
  <c r="H16" i="6"/>
  <c r="H15" i="6"/>
  <c r="H14" i="6"/>
  <c r="H13" i="6"/>
  <c r="H12" i="6"/>
  <c r="H11" i="6"/>
  <c r="H10" i="6"/>
  <c r="H9" i="6"/>
  <c r="H8" i="6"/>
  <c r="H7" i="6"/>
  <c r="A29" i="3"/>
  <c r="A28" i="3"/>
  <c r="A27" i="3"/>
  <c r="A26" i="3" s="1"/>
  <c r="A25" i="3" s="1"/>
  <c r="A24" i="3" s="1"/>
  <c r="A23" i="3" s="1"/>
  <c r="A22" i="3" s="1"/>
  <c r="A21" i="3" s="1"/>
  <c r="A20" i="3" s="1"/>
  <c r="A19" i="3" s="1"/>
  <c r="A18" i="3" s="1"/>
  <c r="A17" i="3" s="1"/>
  <c r="A16" i="3" s="1"/>
  <c r="A15" i="3" s="1"/>
  <c r="A14" i="3" s="1"/>
  <c r="A13" i="3" s="1"/>
  <c r="A12" i="3" s="1"/>
  <c r="A11" i="3" s="1"/>
  <c r="A10" i="3" s="1"/>
  <c r="A9" i="3" s="1"/>
  <c r="A8" i="3" s="1"/>
  <c r="A7" i="3" s="1"/>
  <c r="A6" i="3" s="1"/>
  <c r="A113" i="2"/>
  <c r="A112" i="2" s="1"/>
  <c r="A111" i="2" s="1"/>
  <c r="A110" i="2" s="1"/>
  <c r="A109" i="2" s="1"/>
  <c r="A108" i="2" s="1"/>
  <c r="A107" i="2" s="1"/>
  <c r="A106" i="2" s="1"/>
  <c r="A105" i="2" s="1"/>
  <c r="A104" i="2" s="1"/>
  <c r="A103" i="2" s="1"/>
  <c r="A102" i="2" s="1"/>
  <c r="A101" i="2" s="1"/>
  <c r="A100" i="2" s="1"/>
  <c r="A99" i="2" s="1"/>
  <c r="A98" i="2" s="1"/>
  <c r="A97" i="2" s="1"/>
  <c r="A96" i="2" s="1"/>
  <c r="A95" i="2" s="1"/>
  <c r="A94" i="2" s="1"/>
  <c r="A93" i="2" s="1"/>
  <c r="A92" i="2" s="1"/>
  <c r="A91" i="2" s="1"/>
  <c r="A90" i="2" s="1"/>
  <c r="A89" i="2" s="1"/>
  <c r="A88" i="2" s="1"/>
  <c r="A87" i="2" s="1"/>
  <c r="A86" i="2" s="1"/>
  <c r="A85" i="2" s="1"/>
  <c r="A84" i="2" s="1"/>
  <c r="A83" i="2" s="1"/>
  <c r="A82" i="2" s="1"/>
  <c r="A81" i="2" s="1"/>
  <c r="A80" i="2" s="1"/>
  <c r="A79" i="2" s="1"/>
  <c r="A78" i="2" s="1"/>
  <c r="A77" i="2" s="1"/>
  <c r="A76" i="2" s="1"/>
  <c r="A75" i="2" s="1"/>
  <c r="A74" i="2" s="1"/>
  <c r="A73" i="2" s="1"/>
  <c r="A72" i="2" s="1"/>
  <c r="A71" i="2" s="1"/>
  <c r="A70" i="2" s="1"/>
  <c r="A69" i="2" s="1"/>
  <c r="A68" i="2" s="1"/>
  <c r="A67" i="2" s="1"/>
  <c r="A66" i="2" s="1"/>
  <c r="A65" i="2" s="1"/>
  <c r="A64" i="2" s="1"/>
  <c r="A63" i="2" s="1"/>
  <c r="A62" i="2" s="1"/>
  <c r="A61" i="2" s="1"/>
  <c r="A60" i="2" s="1"/>
  <c r="A59" i="2" s="1"/>
  <c r="A58" i="2" s="1"/>
  <c r="A57" i="2" s="1"/>
  <c r="A56" i="2" s="1"/>
  <c r="A55" i="2" s="1"/>
  <c r="A54" i="2" s="1"/>
  <c r="A53" i="2" s="1"/>
  <c r="A52" i="2" s="1"/>
  <c r="A51" i="2" s="1"/>
  <c r="A50" i="2" s="1"/>
  <c r="A49" i="2" s="1"/>
  <c r="A48" i="2" s="1"/>
  <c r="A47" i="2" s="1"/>
  <c r="A46" i="2" s="1"/>
  <c r="A45" i="2" s="1"/>
  <c r="A44" i="2" s="1"/>
  <c r="A43" i="2" s="1"/>
  <c r="A42" i="2" s="1"/>
  <c r="A41" i="2" s="1"/>
  <c r="A40" i="2" s="1"/>
  <c r="A39" i="2" s="1"/>
  <c r="A38" i="2" s="1"/>
  <c r="A37" i="2" s="1"/>
  <c r="A36" i="2" s="1"/>
  <c r="A35" i="2" s="1"/>
  <c r="A34" i="2" s="1"/>
  <c r="A33" i="2" s="1"/>
  <c r="A32" i="2" s="1"/>
  <c r="A31" i="2" s="1"/>
  <c r="A30" i="2" s="1"/>
  <c r="A29" i="2" s="1"/>
  <c r="A28" i="2" s="1"/>
  <c r="A27" i="2" s="1"/>
  <c r="A26" i="2" s="1"/>
  <c r="A25" i="2" s="1"/>
  <c r="A24" i="2" s="1"/>
  <c r="A23" i="2" s="1"/>
  <c r="A22" i="2" s="1"/>
  <c r="A21" i="2" s="1"/>
  <c r="A20" i="2" s="1"/>
  <c r="A19" i="2" s="1"/>
  <c r="A18" i="2" s="1"/>
  <c r="A17" i="2" s="1"/>
  <c r="A16" i="2" s="1"/>
  <c r="A15" i="2" s="1"/>
  <c r="A14" i="2" s="1"/>
  <c r="A13" i="2" s="1"/>
  <c r="A12" i="2" s="1"/>
  <c r="A11" i="2" s="1"/>
  <c r="A10" i="2" s="1"/>
  <c r="A9" i="2" s="1"/>
  <c r="A148" i="1"/>
  <c r="A147" i="1" s="1"/>
  <c r="A146" i="1" s="1"/>
  <c r="A145" i="1" s="1"/>
  <c r="A144" i="1" s="1"/>
  <c r="A143" i="1" s="1"/>
  <c r="A142" i="1" s="1"/>
  <c r="A141" i="1" s="1"/>
  <c r="A140" i="1" s="1"/>
  <c r="A139" i="1" s="1"/>
  <c r="A138" i="1" s="1"/>
  <c r="A137" i="1" s="1"/>
  <c r="A136" i="1" s="1"/>
  <c r="A135" i="1" s="1"/>
  <c r="A134" i="1" s="1"/>
  <c r="A133" i="1" s="1"/>
  <c r="A132" i="1" s="1"/>
  <c r="A131" i="1" s="1"/>
  <c r="A130" i="1" s="1"/>
  <c r="A129" i="1" s="1"/>
  <c r="A128" i="1" s="1"/>
  <c r="A127" i="1" s="1"/>
  <c r="A126" i="1" s="1"/>
  <c r="A125" i="1" s="1"/>
  <c r="A124" i="1" s="1"/>
  <c r="A123" i="1" s="1"/>
  <c r="A122" i="1" s="1"/>
  <c r="A121" i="1" s="1"/>
  <c r="A120" i="1" s="1"/>
  <c r="A119" i="1" s="1"/>
  <c r="A118" i="1" s="1"/>
  <c r="A117" i="1" s="1"/>
  <c r="A116" i="1" s="1"/>
  <c r="A115" i="1" s="1"/>
  <c r="A114" i="1" s="1"/>
  <c r="A113" i="1" s="1"/>
  <c r="A112" i="1" s="1"/>
  <c r="A111" i="1" s="1"/>
  <c r="A110" i="1" s="1"/>
  <c r="A109" i="1" s="1"/>
  <c r="A108" i="1" s="1"/>
  <c r="A107" i="1" s="1"/>
  <c r="A106" i="1" s="1"/>
  <c r="A105" i="1" s="1"/>
  <c r="A104" i="1" s="1"/>
  <c r="A103" i="1" s="1"/>
  <c r="A102" i="1" s="1"/>
  <c r="A101" i="1" s="1"/>
  <c r="A100" i="1" s="1"/>
  <c r="A99" i="1" s="1"/>
  <c r="A98" i="1" s="1"/>
  <c r="A97" i="1" s="1"/>
  <c r="A96" i="1" s="1"/>
  <c r="A95" i="1" s="1"/>
  <c r="A94" i="1" s="1"/>
  <c r="A93" i="1" s="1"/>
  <c r="A92" i="1" s="1"/>
  <c r="A91" i="1" s="1"/>
  <c r="A90" i="1" s="1"/>
  <c r="A89" i="1" s="1"/>
  <c r="A88" i="1" s="1"/>
  <c r="A87" i="1" s="1"/>
  <c r="A86" i="1" s="1"/>
  <c r="A85" i="1" s="1"/>
  <c r="A84" i="1" s="1"/>
  <c r="A83" i="1" s="1"/>
  <c r="A82" i="1" s="1"/>
  <c r="A81" i="1" s="1"/>
  <c r="A80" i="1" s="1"/>
  <c r="A79" i="1" s="1"/>
  <c r="A78" i="1" s="1"/>
  <c r="A77" i="1" s="1"/>
  <c r="A76" i="1" s="1"/>
  <c r="A75" i="1" s="1"/>
  <c r="A74" i="1" s="1"/>
  <c r="A73" i="1" s="1"/>
  <c r="A72" i="1" s="1"/>
  <c r="A71" i="1" s="1"/>
  <c r="A70" i="1" s="1"/>
  <c r="A69" i="1" s="1"/>
  <c r="A68" i="1" s="1"/>
  <c r="A67" i="1" s="1"/>
  <c r="A66" i="1" s="1"/>
  <c r="A65" i="1" s="1"/>
  <c r="A64" i="1" s="1"/>
  <c r="A63" i="1" s="1"/>
  <c r="A62" i="1" s="1"/>
  <c r="A61" i="1" s="1"/>
  <c r="A60" i="1" s="1"/>
  <c r="A59" i="1" s="1"/>
  <c r="A58" i="1" s="1"/>
  <c r="A57" i="1" s="1"/>
  <c r="A56" i="1" s="1"/>
  <c r="A55" i="1" s="1"/>
  <c r="A54" i="1" s="1"/>
  <c r="A53" i="1" s="1"/>
  <c r="A52" i="1" s="1"/>
  <c r="A51" i="1" s="1"/>
  <c r="A50" i="1" s="1"/>
  <c r="A49" i="1" s="1"/>
  <c r="A48" i="1" s="1"/>
  <c r="A47" i="1" s="1"/>
  <c r="A46" i="1" s="1"/>
  <c r="A45" i="1" s="1"/>
  <c r="A44" i="1" s="1"/>
  <c r="A43" i="1" s="1"/>
  <c r="A42" i="1" s="1"/>
  <c r="A41" i="1" s="1"/>
  <c r="A40" i="1" s="1"/>
  <c r="A39" i="1" s="1"/>
  <c r="A38" i="1" s="1"/>
  <c r="A37" i="1" s="1"/>
  <c r="A36" i="1" s="1"/>
  <c r="A35" i="1" s="1"/>
  <c r="A34" i="1" s="1"/>
  <c r="A33" i="1" s="1"/>
  <c r="A32" i="1" s="1"/>
  <c r="A31" i="1" s="1"/>
  <c r="A30" i="1" s="1"/>
  <c r="A29" i="1" s="1"/>
  <c r="A28" i="1" s="1"/>
  <c r="A27" i="1" s="1"/>
  <c r="A26" i="1" s="1"/>
  <c r="A25" i="1" s="1"/>
  <c r="A24" i="1" s="1"/>
  <c r="A23" i="1" s="1"/>
  <c r="A22" i="1" s="1"/>
  <c r="A21" i="1" s="1"/>
  <c r="A20" i="1" s="1"/>
  <c r="A19" i="1" s="1"/>
  <c r="A18" i="1" s="1"/>
  <c r="A17" i="1" s="1"/>
  <c r="A16" i="1" s="1"/>
  <c r="A15" i="1" s="1"/>
  <c r="A14" i="1" s="1"/>
  <c r="A13" i="1" s="1"/>
  <c r="A12" i="1" s="1"/>
  <c r="A11" i="1" s="1"/>
  <c r="A10" i="1" s="1"/>
  <c r="A9" i="1" s="1"/>
  <c r="A8" i="1" s="1"/>
</calcChain>
</file>

<file path=xl/sharedStrings.xml><?xml version="1.0" encoding="utf-8"?>
<sst xmlns="http://schemas.openxmlformats.org/spreadsheetml/2006/main" count="1187" uniqueCount="912">
  <si>
    <t>Descritores:</t>
  </si>
  <si>
    <t>Meio ambiente, ambiental, clima, mudanças climáticas, mitigação, adaptação, bioeconomia, carbono, ecológico, desmatamento, queimadas</t>
  </si>
  <si>
    <t>Versão inicial</t>
  </si>
  <si>
    <t>Atualizado em:</t>
  </si>
  <si>
    <t>Ambientalista, floresta, florestal, sustentável, povos indígenas, comunidades tradicionais, biodiversidade, extrativistas, agricultores familiares, agro, eficiência energética, renováveis</t>
  </si>
  <si>
    <t>Nº da Lei</t>
  </si>
  <si>
    <t>Ementa</t>
  </si>
  <si>
    <t>Órgão</t>
  </si>
  <si>
    <t>Nº da Lei Órdinaria</t>
  </si>
  <si>
    <t>Climático</t>
  </si>
  <si>
    <t xml:space="preserve">Nº de citações </t>
  </si>
  <si>
    <t>Meio Ambiente</t>
  </si>
  <si>
    <t>Nº do Decreto</t>
  </si>
  <si>
    <t>Ambiental</t>
  </si>
  <si>
    <t>Sustentável</t>
  </si>
  <si>
    <t>Clima</t>
  </si>
  <si>
    <t>Indígena</t>
  </si>
  <si>
    <t>Extrativismo/Extrativista</t>
  </si>
  <si>
    <t>Carbono</t>
  </si>
  <si>
    <r>
      <rPr>
        <i/>
        <u/>
        <sz val="8"/>
        <color rgb="FF1155CC"/>
        <rFont val="&quot;Work Sans&quot;, sans-serif"/>
      </rPr>
      <t>Lei nº 4.548, de 24/03/2025</t>
    </r>
    <r>
      <rPr>
        <i/>
        <sz val="8"/>
        <color rgb="FF222222"/>
        <rFont val="&quot;Work Sans&quot;, sans-serif"/>
      </rPr>
      <t>Publicada no DOE de 26/03/2025</t>
    </r>
  </si>
  <si>
    <r>
      <rPr>
        <i/>
        <u/>
        <sz val="8"/>
        <color rgb="FF1155CC"/>
        <rFont val="&quot;Work Sans&quot;, sans-serif"/>
      </rPr>
      <t>Lei nº 4.759, de 19/01/2026</t>
    </r>
    <r>
      <rPr>
        <i/>
        <sz val="8"/>
        <color rgb="FF222222"/>
        <rFont val="&quot;Work Sans&quot;, sans-serif"/>
      </rPr>
      <t>Publicada no DOE de 26/01/2026</t>
    </r>
  </si>
  <si>
    <t>Mitigação</t>
  </si>
  <si>
    <t>Adaptação</t>
  </si>
  <si>
    <t>Desmatamento</t>
  </si>
  <si>
    <t>Queimadas</t>
  </si>
  <si>
    <t>Floresta</t>
  </si>
  <si>
    <t>Produtores Familiares</t>
  </si>
  <si>
    <t>Biodiversidade</t>
  </si>
  <si>
    <t>Eficiência energética</t>
  </si>
  <si>
    <t>Energia Renováveis</t>
  </si>
  <si>
    <t>Dispõe sobre a criação da plataforma digital de transparência ambiental participativa.</t>
  </si>
  <si>
    <t>Altera a Lei nº 1.478, de 15 de janeiro de 2003, e a Lei nº 3.717, de 15 de janeiro de 2021, para dispor sobre o provimento de cargos de direção e chefia no âmbito do Instituto de Defesa Agropecuária e Florestal do Estado do Acre - IDAF.</t>
  </si>
  <si>
    <r>
      <rPr>
        <u/>
        <sz val="11"/>
        <color rgb="FF1155CC"/>
        <rFont val="Calibri"/>
      </rPr>
      <t>Lei nº 4.746, de 29/12/2025</t>
    </r>
    <r>
      <rPr>
        <sz val="11"/>
        <color theme="10"/>
        <rFont val="Calibri"/>
      </rPr>
      <t>Publicada no DOE de 30/12/2025</t>
    </r>
  </si>
  <si>
    <r>
      <rPr>
        <i/>
        <u/>
        <sz val="8"/>
        <color rgb="FF1155CC"/>
        <rFont val="&quot;Work Sans&quot;, sans-serif"/>
      </rPr>
      <t>Lei nº 4.751, de 29/12/2025</t>
    </r>
    <r>
      <rPr>
        <i/>
        <sz val="8"/>
        <color rgb="FF222222"/>
        <rFont val="&quot;Work Sans&quot;, sans-serif"/>
      </rPr>
      <t>Publicada no DOE de 30/12/2025</t>
    </r>
  </si>
  <si>
    <r>
      <rPr>
        <i/>
        <u/>
        <sz val="8"/>
        <color rgb="FF1155CC"/>
        <rFont val="&quot;Work Sans&quot;, sans-serif"/>
      </rPr>
      <t>Lei nº 4.378, de 12/07/2024</t>
    </r>
    <r>
      <rPr>
        <i/>
        <sz val="8"/>
        <color rgb="FF222222"/>
        <rFont val="&quot;Work Sans&quot;, sans-serif"/>
      </rPr>
      <t>Publicada no DOE de 12/07/2024</t>
    </r>
  </si>
  <si>
    <r>
      <rPr>
        <i/>
        <u/>
        <sz val="8"/>
        <color rgb="FF1155CC"/>
        <rFont val="Work Sans"/>
      </rPr>
      <t>Decreto nº 11.924, de 10/07/2026</t>
    </r>
    <r>
      <rPr>
        <i/>
        <sz val="8"/>
        <color rgb="FF222222"/>
        <rFont val="Work Sans"/>
      </rPr>
      <t>Publicado no DOE de 13/07/2026</t>
    </r>
  </si>
  <si>
    <t>Altera a Lei Complementar nº 419, de 15 de dezembro de 2022, que estabelece a estrutura básica da administração do Poder Executivo; altera a Lei nº 4.085, de 16 de fevereiro de 2023, que altera a Lei Complementar nº 419, de 2022; e altera a Lei nº 1.418, de 24 de outubro de 2001, que institui o Plano de Cargos, Carreira e Remuneração dos Servidores do Instituto do Meio Ambiente do Acre - IMAC.</t>
  </si>
  <si>
    <t>Instituto do Meio Ambiente do Acre - IMAC.</t>
  </si>
  <si>
    <t>Dispõe sobre a revisão do Plano Plurianual - PPA do Estado do Acre para o quadriênio 2024-2027, aprovado por meio da Lei nº 4.282, de 27 de dezembro de 2023.</t>
  </si>
  <si>
    <t>Altera a Lei nº 725, de 13 de dezembro de 1980, que institui o Fundo Agropecuário Estadual - FUNAGRO, para dispor sobre suas fontes de receita e a destinação de seus recursos.</t>
  </si>
  <si>
    <r>
      <rPr>
        <i/>
        <u/>
        <sz val="8"/>
        <color rgb="FF1155CC"/>
        <rFont val="&quot;Work Sans&quot;, sans-serif"/>
      </rPr>
      <t>Lei nº 3.732, de 19/05/2021</t>
    </r>
    <r>
      <rPr>
        <i/>
        <sz val="8"/>
        <color rgb="FF222222"/>
        <rFont val="&quot;Work Sans&quot;, sans-serif"/>
      </rPr>
      <t>Publicada no DOE de 20/05/2021</t>
    </r>
  </si>
  <si>
    <r>
      <rPr>
        <i/>
        <u/>
        <sz val="8"/>
        <color rgb="FF1155CC"/>
        <rFont val="&quot;Work Sans&quot;, sans-serif"/>
      </rPr>
      <t>Lei nº 4.749, de 29/12/2025</t>
    </r>
    <r>
      <rPr>
        <i/>
        <sz val="8"/>
        <color rgb="FF222222"/>
        <rFont val="&quot;Work Sans&quot;, sans-serif"/>
      </rPr>
      <t>Publicada no DOE de 30/12/2025</t>
    </r>
  </si>
  <si>
    <t>Lei nº 4.282, de 27/12/2023Publicada no DOE de 12/01/2024</t>
  </si>
  <si>
    <t>Altera a Lei nº 3.717, de 15 de janeiro de 2021, que “Institui a carreira de auditor fiscal estadual agropecuário no âmbito do Instituto de Defesa Agropecuária e Florestal - IDAF".</t>
  </si>
  <si>
    <r>
      <rPr>
        <i/>
        <u/>
        <sz val="8"/>
        <color rgb="FF1155CC"/>
        <rFont val="&quot;Work Sans&quot;, sans-serif"/>
      </rPr>
      <t>Lei nº 3.717, de 15/01/2021</t>
    </r>
    <r>
      <rPr>
        <i/>
        <sz val="8"/>
        <color rgb="FF222222"/>
        <rFont val="&quot;Work Sans&quot;, sans-serif"/>
      </rPr>
      <t>Publicada no DOE de 15/01/2021</t>
    </r>
  </si>
  <si>
    <t>Cria o Sistema Integrado de Meio Ambiente e Mudança do Clima - SIMAMC e o Centro Integrado de Inteligência, Geoprocessamento e Monitoramento Ambiental - CIGMA.</t>
  </si>
  <si>
    <t>Altera o Decreto nº 7.734, de 6 de junho de 2014, que regulamenta o Cadastro Ambiental Rural - CAR, no âmbito do Estado do Acre, para dispor sobre sua coordenação.</t>
  </si>
  <si>
    <r>
      <rPr>
        <i/>
        <u/>
        <sz val="8"/>
        <color rgb="FF1155CC"/>
        <rFont val="&quot;Work Sans&quot;, sans-serif"/>
      </rPr>
      <t>Lei nº 4.740, de 18/12/2025</t>
    </r>
    <r>
      <rPr>
        <i/>
        <sz val="8"/>
        <color rgb="FF222222"/>
        <rFont val="&quot;Work Sans&quot;, sans-serif"/>
      </rPr>
      <t>Publicada no DOE de 19/12/2025</t>
    </r>
  </si>
  <si>
    <t xml:space="preserve">Dispõe sobre o Plano Plurianual - PPA do Estado do Acre para o quadriênio 2024-2027. </t>
  </si>
  <si>
    <t>Institui a carreira de auditor fiscal estadual agropecuário no âmbito do Instituto de Defesa Agropecuária e Florestal – IDAF</t>
  </si>
  <si>
    <r>
      <rPr>
        <i/>
        <u/>
        <sz val="8"/>
        <color rgb="FF1155CC"/>
        <rFont val="&quot;Work Sans&quot;, sans-serif"/>
      </rPr>
      <t>Lei nº 3.260, de 20/06/2017</t>
    </r>
    <r>
      <rPr>
        <i/>
        <sz val="8"/>
        <color rgb="FF222222"/>
        <rFont val="&quot;Work Sans&quot;, sans-serif"/>
      </rPr>
      <t>Publicada no DOE de 21/06/2017</t>
    </r>
  </si>
  <si>
    <t>Altera a Lei nº 4.656, de 23 de outubro de 2025, que dispõe sobre a contratação de operações de crédito com o Banco Nacional do Desenvolvimento Econômico - BNDES visando ao fortalecimento de cadeias de produção, para tratar de adequações técnicas.</t>
  </si>
  <si>
    <r>
      <rPr>
        <i/>
        <u/>
        <sz val="8"/>
        <color rgb="FF1155CC"/>
        <rFont val="&quot;Work Sans&quot;, sans-serif"/>
      </rPr>
      <t>Lei nº 4.680, de 27/11/2025</t>
    </r>
    <r>
      <rPr>
        <i/>
        <sz val="8"/>
        <color rgb="FF222222"/>
        <rFont val="&quot;Work Sans&quot;, sans-serif"/>
      </rPr>
      <t>Publicada no DOE de 28/11/2025</t>
    </r>
  </si>
  <si>
    <t>Altera a Lei nº 2.263, de 31 de março de 2010, que estabelece nova estrutura de carreira para os servidores ocupantes dos cargos de nível superior do Instituto de Meio Ambiente do Acre – IMAC.</t>
  </si>
  <si>
    <r>
      <rPr>
        <i/>
        <u/>
        <sz val="8"/>
        <color rgb="FF1155CC"/>
        <rFont val="&quot;Work Sans&quot;, sans-serif"/>
      </rPr>
      <t>Lei nº 3.232, de 15/03/2017</t>
    </r>
    <r>
      <rPr>
        <i/>
        <sz val="8"/>
        <color rgb="FF222222"/>
        <rFont val="&quot;Work Sans&quot;, sans-serif"/>
      </rPr>
      <t>Publicada no DOE de 17/03/2017</t>
    </r>
  </si>
  <si>
    <t>Altera a Lei nº 4.655, de 23 de outubro de 2025, que dispõe sobre a contratação de operação de crédito com a Caixa Econômica Federal - CEF visando ao financiamento de ações com foco na transformação digital, e altera a Lei nº 4.656, de 23 de outubro de 2025, que dispõe sobre a contratação de operações de crédito com o Banco Nacional do Desenvolvimento Econômico - BNDES visando ao fortalecimento de cadeias de produção, para tratar de adequações técnicas.</t>
  </si>
  <si>
    <t>Institui a estrutura da carreira dos cargos de agente de atividade agropecuária, técnico agroflorestal e técnico em defesa agropecuária e florestal da administração direta e indireta do Estado.</t>
  </si>
  <si>
    <r>
      <rPr>
        <u/>
        <sz val="11"/>
        <color rgb="FF1155CC"/>
        <rFont val="Calibri"/>
      </rPr>
      <t>Lei nº 4.282, de 27/12/2023</t>
    </r>
    <r>
      <rPr>
        <sz val="11"/>
        <color theme="10"/>
        <rFont val="Calibri"/>
      </rPr>
      <t>Publicada no DOE de 12/01/2024</t>
    </r>
  </si>
  <si>
    <r>
      <rPr>
        <i/>
        <u/>
        <sz val="8"/>
        <color rgb="FF1155CC"/>
        <rFont val="&quot;Work Sans&quot;, sans-serif"/>
      </rPr>
      <t>Lei nº 3.102, de 29/12/2015</t>
    </r>
    <r>
      <rPr>
        <i/>
        <sz val="8"/>
        <color rgb="FF222222"/>
        <rFont val="&quot;Work Sans&quot;, sans-serif"/>
      </rPr>
      <t>Publicada no DOE de 31/12/2015</t>
    </r>
  </si>
  <si>
    <r>
      <rPr>
        <i/>
        <u/>
        <sz val="8"/>
        <color rgb="FF1155CC"/>
        <rFont val="&quot;Work Sans&quot;, sans-serif"/>
      </rPr>
      <t>Lei nº 4.679, de 10/11/2025</t>
    </r>
    <r>
      <rPr>
        <i/>
        <sz val="8"/>
        <color rgb="FF222222"/>
        <rFont val="&quot;Work Sans&quot;, sans-serif"/>
      </rPr>
      <t>Publicada no DOE de 12/11/2025</t>
    </r>
  </si>
  <si>
    <t>Dispõe sobre o Plano Plurianual - PPA do Estado do Acre para o quadriênio 2024-2027.</t>
  </si>
  <si>
    <r>
      <rPr>
        <i/>
        <u/>
        <sz val="8"/>
        <color rgb="FF1155CC"/>
        <rFont val="&quot;Work Sans&quot;, sans-serif"/>
      </rPr>
      <t>Decreto nº 11.917, de 01/07/2026</t>
    </r>
    <r>
      <rPr>
        <i/>
        <sz val="8"/>
        <color rgb="FF222222"/>
        <rFont val="&quot;Work Sans&quot;, sans-serif"/>
      </rPr>
      <t>Publicado no DOE de 02/07/2026</t>
    </r>
  </si>
  <si>
    <t>Altera o art. 12 da Lei n. 1.418, de 24 de outubro de 2001, que Institui o Plano de Cargos, Carreira e Remuneração dos Servidores do Instituto do Meio Ambiente do Acre – IMAC e dá outras providências.</t>
  </si>
  <si>
    <r>
      <rPr>
        <u/>
        <sz val="11"/>
        <color rgb="FF1155CC"/>
        <rFont val="Calibri"/>
      </rPr>
      <t>Lei nº 3.876, de 17/12/2021</t>
    </r>
    <r>
      <rPr>
        <sz val="11"/>
        <color theme="10"/>
        <rFont val="Calibri"/>
      </rPr>
      <t>Publicada no DOE de 23/12/2021</t>
    </r>
  </si>
  <si>
    <r>
      <rPr>
        <i/>
        <u/>
        <sz val="8"/>
        <color rgb="FF1155CC"/>
        <rFont val="&quot;Work Sans&quot;, sans-serif"/>
      </rPr>
      <t>Lei nº 3.097, de 29/12/2015</t>
    </r>
    <r>
      <rPr>
        <i/>
        <sz val="8"/>
        <color rgb="FF222222"/>
        <rFont val="&quot;Work Sans&quot;, sans-serif"/>
      </rPr>
      <t>Publicada no DOE de 31/12/2015</t>
    </r>
  </si>
  <si>
    <t>Dispõe sobre o Orçamento Climático do Estado do Acre.</t>
  </si>
  <si>
    <t>Dispõe sobre a criação do Núcleo Especial de Gestão de Projetos - NEGEP do Programa Fundo Clima do Estado do Acre.</t>
  </si>
  <si>
    <r>
      <rPr>
        <i/>
        <u/>
        <sz val="8"/>
        <color rgb="FF1155CC"/>
        <rFont val="&quot;Work Sans&quot;, sans-serif"/>
      </rPr>
      <t>Lei nº 4.656, de 23/10/2025</t>
    </r>
    <r>
      <rPr>
        <i/>
        <sz val="8"/>
        <color rgb="FF222222"/>
        <rFont val="&quot;Work Sans&quot;, sans-serif"/>
      </rPr>
      <t>Publicada no DOE de 24/10/2025</t>
    </r>
  </si>
  <si>
    <r>
      <rPr>
        <i/>
        <u/>
        <sz val="8"/>
        <color rgb="FF1155CC"/>
        <rFont val="&quot;Work Sans&quot;, sans-serif"/>
      </rPr>
      <t>Decreto nº 11.911, de 26/06/2026</t>
    </r>
    <r>
      <rPr>
        <i/>
        <sz val="8"/>
        <color rgb="FF222222"/>
        <rFont val="&quot;Work Sans&quot;, sans-serif"/>
      </rPr>
      <t>Publicado no DOE de 01/07/2026</t>
    </r>
  </si>
  <si>
    <t>Dispõe sobre revisão ao Plano Plurianual do Estado do Acre para o quadriênio 2020-2023 (PPA 2020-2023), e altera a Lei nº 3.589, de 19 de dezembro de 2019.</t>
  </si>
  <si>
    <t>Altera os arts. 16 e 21 e acresce o art. 16-A à Lei n. 2.263, de 31 de março de 2010, que estabelece nova estrutura de carreira para os servidores ocupantes dos cargos de nível superior do Instituto de Meio Ambiente do Acre – IMAC, e dá outras providências.</t>
  </si>
  <si>
    <r>
      <rPr>
        <i/>
        <u/>
        <sz val="8"/>
        <color rgb="FF1155CC"/>
        <rFont val="&quot;Work Sans&quot;, sans-serif"/>
      </rPr>
      <t>Lei Complementar nº 300, de 09/07/2015</t>
    </r>
    <r>
      <rPr>
        <i/>
        <sz val="8"/>
        <color rgb="FF222222"/>
        <rFont val="&quot;Work Sans&quot;, sans-serif"/>
      </rPr>
      <t>Publicada no DOE de 09/07/2015</t>
    </r>
  </si>
  <si>
    <t>Dispõe sobre o Plano de Ação Estadual para Adaptação à Mudança do Clima e Baixa Emissão de Carbono na Agropecuária do Estado do Acre - Plano ABC+/AC, no âmbito do Plano Setorial para Adaptação à Mudança do Clima e Baixa Emissão de Carbono na Agropecuária com vistas ao Desenvolvimento Sustentável (2020 - 2030).</t>
  </si>
  <si>
    <r>
      <rPr>
        <i/>
        <u/>
        <sz val="8"/>
        <color rgb="FF1155CC"/>
        <rFont val="Work Sans"/>
      </rPr>
      <t>Decreto nº 11.906, de 10/06/2026</t>
    </r>
    <r>
      <rPr>
        <i/>
        <sz val="8"/>
        <color rgb="FF222222"/>
        <rFont val="Work Sans"/>
      </rPr>
      <t>Publicado no DOE de 17/06/2026</t>
    </r>
  </si>
  <si>
    <t>Dispõe sobre a contratação de operações de crédito com o Banco Nacional do Desenvolvimento Econômico - BNDES visando ao fortalecimento de cadeias de produção.</t>
  </si>
  <si>
    <r>
      <rPr>
        <u/>
        <sz val="11"/>
        <color rgb="FF1155CC"/>
        <rFont val="Calibri"/>
      </rPr>
      <t>Lei nº 3.658, de 11/12/2020</t>
    </r>
    <r>
      <rPr>
        <sz val="11"/>
        <color theme="10"/>
        <rFont val="Calibri"/>
      </rPr>
      <t>Publicada no DOE de 14/12/2020</t>
    </r>
  </si>
  <si>
    <r>
      <rPr>
        <i/>
        <u/>
        <sz val="8"/>
        <color rgb="FF1155CC"/>
        <rFont val="&quot;Work Sans&quot;, sans-serif"/>
      </rPr>
      <t>Lei nº 4.645, de 11/09/2025</t>
    </r>
    <r>
      <rPr>
        <i/>
        <sz val="8"/>
        <color rgb="FF222222"/>
        <rFont val="&quot;Work Sans&quot;, sans-serif"/>
      </rPr>
      <t>Publicada no DOE de 15/09/2025</t>
    </r>
  </si>
  <si>
    <t>Altera a Lei Complementar n. 247, de 17 de fevereiro de 2012, que dispõe sobre a estrutura administrativa do Poder Executivo; a Lei n. 2.308, de 22 de outubro de 2010, que cria o Sistema Estadual de Incentivos a Serviços Ambientais –SISA, o Programa de Incentivos por Serviços Ambientais – ISA Carbono e demais Programas de Serviços Ambientais e Produtos Ecossistêmicos do Estado do Acre; a Lei n. 1.426, de 27 de dezembro de 2001, que dispõe sobre a preservação e conservação das florestas do Estado, institui o Sistema Estadual de Áreas Naturais Protegidas, cria o Conselho Florestal Estadual e o Fundo Estadual de Florestas, e dá outras providências.</t>
  </si>
  <si>
    <t>Altera o Decreto nº 11.753, de 11 de setembro de 2025, que dispõe sobre a criação da Comissão de Educação Ambiental do Estado do Acre; e aprova o Regimento Interno da Comissão Estadual de Educação Ambiental do Estado do Acre - COMEEA/AC.</t>
  </si>
  <si>
    <r>
      <rPr>
        <i/>
        <u/>
        <sz val="8"/>
        <color rgb="FF1155CC"/>
        <rFont val="&quot;Work Sans&quot;, sans-serif"/>
      </rPr>
      <t>Lei nº 2.853, de 03/02/2014</t>
    </r>
    <r>
      <rPr>
        <i/>
        <sz val="8"/>
        <color rgb="FF222222"/>
        <rFont val="&quot;Work Sans&quot;, sans-serif"/>
      </rPr>
      <t>Publicada no DOE de 04/02/2014</t>
    </r>
  </si>
  <si>
    <t>Dispõe sobre revisão ao Plano Plurianual do Estado do Acre para o quadriênio 2020-2023 – PPA 2020-2023, aprovado pela Lei nº 3.589, a fim de acrescer ao rol de Programas Temáticos o “Programa Estadual de Enfrentamento ao Novo Coronavírus - COVID-19”, e altera a Lei nº 3.619, de 17 de abril de 2020.</t>
  </si>
  <si>
    <t>Altera a Lei nº 1.117, de 26 de janeiro de 1994, que sobre a política ambiental do Estado do Acre, e dá outras providências.</t>
  </si>
  <si>
    <t>Cria a Gratificação de Atividade Técnica - GAT, aos ocupantes dos cargos de técnico em agropecuária, técnico agrícola, técnico agroflorestal e técnico em extensão rural do Estado, das Autarquias e das Fundações Públicas, instituídas e mantidas pelo Poder Público.</t>
  </si>
  <si>
    <t>Lei nº 3.589, de 19/12/2019Publicada no DOE de 30/12/2019</t>
  </si>
  <si>
    <r>
      <rPr>
        <i/>
        <u/>
        <sz val="8"/>
        <color rgb="FF1155CC"/>
        <rFont val="&quot;Work Sans&quot;, sans-serif"/>
      </rPr>
      <t>Lei nº 4.640, de 07/08/2025</t>
    </r>
    <r>
      <rPr>
        <i/>
        <sz val="8"/>
        <color rgb="FF222222"/>
        <rFont val="&quot;Work Sans&quot;, sans-serif"/>
      </rPr>
      <t>Publicada no DOE de 08/08/2025</t>
    </r>
  </si>
  <si>
    <r>
      <rPr>
        <i/>
        <u/>
        <sz val="8"/>
        <color rgb="FF1155CC"/>
        <rFont val="&quot;Work Sans&quot;, sans-serif"/>
      </rPr>
      <t>Lei nº 2.267, de 31/03/2010</t>
    </r>
    <r>
      <rPr>
        <i/>
        <sz val="8"/>
        <color rgb="FF222222"/>
        <rFont val="&quot;Work Sans&quot;, sans-serif"/>
      </rPr>
      <t>Publicada no DOE de 05/04/2010</t>
    </r>
  </si>
  <si>
    <r>
      <rPr>
        <i/>
        <u/>
        <sz val="8"/>
        <color rgb="FF1155CC"/>
        <rFont val="&quot;Work Sans&quot;, sans-serif"/>
      </rPr>
      <t>Decreto nº 11.873, de 15/04/2026</t>
    </r>
    <r>
      <rPr>
        <i/>
        <sz val="8"/>
        <color rgb="FF222222"/>
        <rFont val="&quot;Work Sans&quot;, sans-serif"/>
      </rPr>
      <t>Publicado no DOE de 16/04/2026</t>
    </r>
  </si>
  <si>
    <t>Dispõe sobre o Plano Plurianual do Estado do Acre para o quadriênio 2020 - 2023.</t>
  </si>
  <si>
    <t>Altera o Decreto nº 11.857, de 24 de março de 2026, que dispõe sobre a convocação para a 1º Conferência Estadual dos Objetivos de Desenvolvimento Sustentável - ODS.</t>
  </si>
  <si>
    <t>Cria Gratificação por Atividade de Campo - GAC no âmbito da Secretaria de Extensão Agroflorestal e Produção Familiar - SEAPROF e dá outras providências.</t>
  </si>
  <si>
    <t>Dispõe sobre a criação do Programa de Residência Técnica em Serviço na Área Ambiental e Climática e revoga a Lei nº 2.426, de 21 de julho de 2011.</t>
  </si>
  <si>
    <r>
      <rPr>
        <i/>
        <u/>
        <sz val="8"/>
        <color rgb="FF1155CC"/>
        <rFont val="&quot;Work Sans&quot;, sans-serif"/>
      </rPr>
      <t>Decreto nº 11.857, de 24/03/2026</t>
    </r>
    <r>
      <rPr>
        <i/>
        <sz val="8"/>
        <color rgb="FF222222"/>
        <rFont val="&quot;Work Sans&quot;, sans-serif"/>
      </rPr>
      <t>Publicado no DOE de 25/03/2026</t>
    </r>
  </si>
  <si>
    <r>
      <rPr>
        <i/>
        <u/>
        <sz val="8"/>
        <color rgb="FF1155CC"/>
        <rFont val="&quot;Work Sans&quot;, sans-serif"/>
      </rPr>
      <t>Lei nº 2.263, de 31/03/2010</t>
    </r>
    <r>
      <rPr>
        <i/>
        <sz val="8"/>
        <color rgb="FF222222"/>
        <rFont val="&quot;Work Sans&quot;, sans-serif"/>
      </rPr>
      <t>Publicada no DOE de 05/04/2010</t>
    </r>
  </si>
  <si>
    <r>
      <rPr>
        <i/>
        <u/>
        <sz val="8"/>
        <color rgb="FF1155CC"/>
        <rFont val="&quot;Work Sans&quot;, sans-serif"/>
      </rPr>
      <t>Lei nº 4.622, de 24/07/2025</t>
    </r>
    <r>
      <rPr>
        <i/>
        <sz val="8"/>
        <color rgb="FF222222"/>
        <rFont val="&quot;Work Sans&quot;, sans-serif"/>
      </rPr>
      <t>Publicada no DOE de 25/07/2025</t>
    </r>
  </si>
  <si>
    <t>Dispõe sobre a convocação da 1º Conferência Estadual dos Objetivos de Desenvolvimento Sustentável - ODS.</t>
  </si>
  <si>
    <t>Estabelece nova estrutura de carreira para os servidores ocupantes dos cargos de nível superior do Instituto de Meio Ambiente do Acre – IMAC.</t>
  </si>
  <si>
    <r>
      <rPr>
        <i/>
        <u/>
        <sz val="8"/>
        <color rgb="FF1155CC"/>
        <rFont val="&quot;Work Sans&quot;, sans-serif"/>
      </rPr>
      <t>Decreto nº 11.847, de 18/03/2026</t>
    </r>
    <r>
      <rPr>
        <i/>
        <sz val="8"/>
        <color rgb="FF222222"/>
        <rFont val="&quot;Work Sans&quot;, sans-serif"/>
      </rPr>
      <t>Publicado no DOE de 18/03/2026</t>
    </r>
  </si>
  <si>
    <t>Lei nº 3.100, de 29/12/2015Publicada no DOE de 04/01/2016</t>
  </si>
  <si>
    <t>Institui o Programa Câmbio Verde, com a finalidade de promover a sustentabilidade ambiental, por meio da troca de resíduos recicláveis por alimentos, no Estado.</t>
  </si>
  <si>
    <r>
      <rPr>
        <i/>
        <u/>
        <sz val="8"/>
        <color rgb="FF1155CC"/>
        <rFont val="&quot;Work Sans&quot;, sans-serif"/>
      </rPr>
      <t>Lei nº 2.249, de 21/12/2009</t>
    </r>
    <r>
      <rPr>
        <i/>
        <sz val="8"/>
        <color rgb="FF222222"/>
        <rFont val="&quot;Work Sans&quot;, sans-serif"/>
      </rPr>
      <t>Publicada no DOE de 15/12/2010</t>
    </r>
  </si>
  <si>
    <r>
      <rPr>
        <i/>
        <u/>
        <sz val="8"/>
        <color rgb="FF1155CC"/>
        <rFont val="&quot;Work Sans&quot;, sans-serif"/>
      </rPr>
      <t>Lei nº 4.602, de 01/07/2025</t>
    </r>
    <r>
      <rPr>
        <i/>
        <sz val="8"/>
        <color rgb="FF222222"/>
        <rFont val="&quot;Work Sans&quot;, sans-serif"/>
      </rPr>
      <t>Publicada no DOE de 02/07/2025</t>
    </r>
  </si>
  <si>
    <t>Dispõe sobre o Plano Plurianual para o quadriênio 2016-2019, em cumprimento aos arts. 151, § 1º do art. 159; e 160, todos da Constituição Estadual.</t>
  </si>
  <si>
    <t>Dispõe sobre o Serviço Ambiental Voluntário de Brigadista Florestal.</t>
  </si>
  <si>
    <t>Dispõe sobre o Plano de Cargos, Carreira e Remuneração dos servidores do Instituto de Defesa Agropecuária e Florestal do Acre – IDAF.</t>
  </si>
  <si>
    <r>
      <rPr>
        <i/>
        <u/>
        <sz val="8"/>
        <color rgb="FF1155CC"/>
        <rFont val="&quot;Work Sans&quot;, sans-serif"/>
      </rPr>
      <t>Decreto nº 11.826, de 20/01/2026</t>
    </r>
    <r>
      <rPr>
        <i/>
        <sz val="8"/>
        <color rgb="FF222222"/>
        <rFont val="&quot;Work Sans&quot;, sans-serif"/>
      </rPr>
      <t>Publicado no DOE de 21/01/2026</t>
    </r>
  </si>
  <si>
    <r>
      <rPr>
        <i/>
        <u/>
        <sz val="8"/>
        <color rgb="FF1155CC"/>
        <rFont val="&quot;Work Sans&quot;, sans-serif"/>
      </rPr>
      <t>Lei nº 2.021, de 25/08/2008</t>
    </r>
    <r>
      <rPr>
        <i/>
        <sz val="8"/>
        <color rgb="FF222222"/>
        <rFont val="&quot;Work Sans&quot;, sans-serif"/>
      </rPr>
      <t>Publicada no DOE de 08/09/2008</t>
    </r>
  </si>
  <si>
    <r>
      <rPr>
        <i/>
        <u/>
        <sz val="8"/>
        <color rgb="FF1155CC"/>
        <rFont val="&quot;Work Sans&quot;, sans-serif"/>
      </rPr>
      <t>Lei nº 4.587, de 24/03/2025</t>
    </r>
    <r>
      <rPr>
        <i/>
        <sz val="8"/>
        <color rgb="FF222222"/>
        <rFont val="&quot;Work Sans&quot;, sans-serif"/>
      </rPr>
      <t>Publicada no DOE de 01/04/2025</t>
    </r>
  </si>
  <si>
    <r>
      <rPr>
        <u/>
        <sz val="11"/>
        <color rgb="FF1155CC"/>
        <rFont val="Calibri"/>
      </rPr>
      <t>Lei nº 2.941, de 29/12/2014</t>
    </r>
    <r>
      <rPr>
        <sz val="11"/>
        <color theme="10"/>
        <rFont val="Calibri"/>
      </rPr>
      <t>Publicada no DOE de 30/12/2014</t>
    </r>
  </si>
  <si>
    <t>Institui o Plano de Carreira e Remuneração dos profissionais de nível superior ocupantes dos cargos de engenheiro, tecnólogo, arquiteto, geógrafo, geólogo, médico veterinário, zootecnista e auditor fiscal agropecuário, no âmbito da administração direta, das autarquias e fundações públicas do Estado.</t>
  </si>
  <si>
    <t>Aprova o Regimento Interno da Rede de Governança Ambiental do Acre - REGAR.</t>
  </si>
  <si>
    <t>Altera a Lei nº 1.693, de 21 de dezembro de 2005, que cria o Programa de Pólos Agroflorestais e Quintais Agroflorestais - PQA e autoriza o Poder Executivo a outorgar, sob condição resolutiva, concessão de direito real de uso de terras rurais localizadas nos pólos agroflorestais, para implementação da Política de Desenvolvimento Sustentável do Estado do Acre, para tratar de redução do tempo mínimo de ocupação para a concessão do título definitivo.</t>
  </si>
  <si>
    <r>
      <rPr>
        <i/>
        <u/>
        <sz val="8"/>
        <color rgb="FF1155CC"/>
        <rFont val="&quot;Work Sans&quot;, sans-serif"/>
      </rPr>
      <t>Lei nº 1.962, de 04/12/2007</t>
    </r>
    <r>
      <rPr>
        <i/>
        <sz val="8"/>
        <color rgb="FF222222"/>
        <rFont val="&quot;Work Sans&quot;, sans-serif"/>
      </rPr>
      <t>Publicada no DOE de 05/12/2007</t>
    </r>
  </si>
  <si>
    <r>
      <rPr>
        <i/>
        <u/>
        <sz val="8"/>
        <color rgb="FF1155CC"/>
        <rFont val="&quot;Work Sans&quot;, sans-serif"/>
      </rPr>
      <t>Decreto nº 11.800, de 04/12/2025</t>
    </r>
    <r>
      <rPr>
        <i/>
        <sz val="8"/>
        <color rgb="FF222222"/>
        <rFont val="&quot;Work Sans&quot;, sans-serif"/>
      </rPr>
      <t>Publicado no DOE de 05/12/2025</t>
    </r>
  </si>
  <si>
    <t>Altera o Apêndice I da Lei n. 2.524, de 20 de dezembro de 2011, que dispõe sobre o Plano Plurianual para o quadriênio 2012-2015.</t>
  </si>
  <si>
    <r>
      <rPr>
        <i/>
        <u/>
        <sz val="8"/>
        <color rgb="FF1155CC"/>
        <rFont val="&quot;Work Sans&quot;, sans-serif"/>
      </rPr>
      <t>Lei nº 4.509, de 20/12/2024</t>
    </r>
    <r>
      <rPr>
        <i/>
        <sz val="8"/>
        <color rgb="FF222222"/>
        <rFont val="&quot;Work Sans&quot;, sans-serif"/>
      </rPr>
      <t>Publicada no DOE de 20/12/2024</t>
    </r>
  </si>
  <si>
    <t>Altera dispositivos das Leis n. 1.478, de 15 de janeiro de 2003, que criou o Instituto de Defesa Agropecuária e Florestal do Estado do Acre – IDAF/AC e n. 1.666, de 19 de agosto de 2005, que estruturou o quadro de pessoal do IDAF/AC</t>
  </si>
  <si>
    <t>Revoga o Decreto nº 11.639, de 11 de fevereiro de 2025, que estabelece a estrutura organizacional básica da Ouvidoria Fundiária e do Meio Ambiente</t>
  </si>
  <si>
    <t>Lei nº 2.524, de 20/12/2011Publicada no DOE de 30/12/2011</t>
  </si>
  <si>
    <r>
      <rPr>
        <i/>
        <u/>
        <sz val="8"/>
        <color rgb="FF1155CC"/>
        <rFont val="&quot;Work Sans&quot;, sans-serif"/>
      </rPr>
      <t>Lei nº 1.911, de 31/07/2007</t>
    </r>
    <r>
      <rPr>
        <i/>
        <sz val="8"/>
        <color rgb="FF222222"/>
        <rFont val="&quot;Work Sans&quot;, sans-serif"/>
      </rPr>
      <t>Publicada no DOE de 03/08/2007</t>
    </r>
  </si>
  <si>
    <r>
      <rPr>
        <i/>
        <u/>
        <sz val="8"/>
        <color rgb="FF1155CC"/>
        <rFont val="&quot;Work Sans&quot;, sans-serif"/>
      </rPr>
      <t>Decreto nº 11.764, de 03/10/2025</t>
    </r>
    <r>
      <rPr>
        <i/>
        <sz val="8"/>
        <color rgb="FF222222"/>
        <rFont val="&quot;Work Sans&quot;, sans-serif"/>
      </rPr>
      <t>Publicado no DOE de 03/10/2025</t>
    </r>
  </si>
  <si>
    <t>Altera a Lei nº 4.396, de 19 de agosto de 2024, que altera a Lei n° 1.787, de 3 de julho de 2006, que autoriza o Poder Executivo, através do Instituto de Terras do Acre - ITERACRE, a outorgar, sob condição resolutiva, concessão de direito de uso nas áreas das Florestas Públicas Estaduais do Rio Gregório, do Rio Liberdade, do Mogno, do Antimary e do Afluente do Complexo do Seringal Jurupari, para efeito de regularização fundiária e dá outras providências, para dispor sobre o início de sua vigência.</t>
  </si>
  <si>
    <r>
      <rPr>
        <i/>
        <u/>
        <sz val="8"/>
        <color rgb="FF1155CC"/>
        <rFont val="&quot;Work Sans&quot;, sans-serif"/>
      </rPr>
      <t>Lei nº 4.508, de 20/12/2024</t>
    </r>
    <r>
      <rPr>
        <i/>
        <sz val="8"/>
        <color rgb="FF222222"/>
        <rFont val="&quot;Work Sans&quot;, sans-serif"/>
      </rPr>
      <t>Publicada no DOE de 20/12/2024</t>
    </r>
  </si>
  <si>
    <t>Dispõe sobre o Plano Plurianual para o quadriênio 2012-2015, e dá outras providências.</t>
  </si>
  <si>
    <t>Dispõe sobre a estrutura organizacional básica do Instituto de Meio Ambiente do Acre – IMAC.</t>
  </si>
  <si>
    <t>Dispõe sobre a referência para a concessão de diárias visando à representação do Estado do Acre na 30ª Conferência da Organização das Nações Unidas sobre Mudanças Climáticas - COP30.</t>
  </si>
  <si>
    <r>
      <rPr>
        <i/>
        <u/>
        <sz val="8"/>
        <color rgb="FF1155CC"/>
        <rFont val="&quot;Work Sans&quot;, sans-serif"/>
      </rPr>
      <t>Lei nº 1.666, de 19/08/2005</t>
    </r>
    <r>
      <rPr>
        <i/>
        <sz val="8"/>
        <color rgb="FF222222"/>
        <rFont val="&quot;Work Sans&quot;, sans-serif"/>
      </rPr>
      <t>Publicada no DOE de 23/08/2005</t>
    </r>
  </si>
  <si>
    <r>
      <rPr>
        <i/>
        <u/>
        <sz val="8"/>
        <color rgb="FF1155CC"/>
        <rFont val="&quot;Work Sans&quot;, sans-serif"/>
      </rPr>
      <t>Decreto nº 11.758, de 17/09/2025</t>
    </r>
    <r>
      <rPr>
        <i/>
        <sz val="8"/>
        <color rgb="FF222222"/>
        <rFont val="&quot;Work Sans&quot;, sans-serif"/>
      </rPr>
      <t>Publicado no DOE de 17/09/2025</t>
    </r>
  </si>
  <si>
    <t>Altera a Lei nº 1.117, de 26 de janeiro de 1994, que dispõe sobre a política ambiental do Estado do Acre.</t>
  </si>
  <si>
    <r>
      <rPr>
        <i/>
        <u/>
        <sz val="8"/>
        <color rgb="FF1155CC"/>
        <rFont val="&quot;Work Sans&quot;, sans-serif"/>
      </rPr>
      <t>Lei nº 4.507, de 20/12/2024</t>
    </r>
    <r>
      <rPr>
        <i/>
        <sz val="8"/>
        <color rgb="FF222222"/>
        <rFont val="&quot;Work Sans&quot;, sans-serif"/>
      </rPr>
      <t>Publicada no DOE de 20/12/2024</t>
    </r>
  </si>
  <si>
    <t>Dispõe sobre a estruturação do quadro de pessoal do Instituto de Defesa Agropecuária e Florestal do Acre – IDAF e dá outras providências.</t>
  </si>
  <si>
    <t>Aprova o Estatuto do Consórcio Interestadual de Desenvolvimento Sustentável da Amazônia Legal.</t>
  </si>
  <si>
    <r>
      <rPr>
        <i/>
        <u/>
        <sz val="8"/>
        <color rgb="FF1155CC"/>
        <rFont val="&quot;Work Sans&quot;, sans-serif"/>
      </rPr>
      <t>Lei nº 1.641, de 11/04/2005</t>
    </r>
    <r>
      <rPr>
        <i/>
        <sz val="8"/>
        <color rgb="FF222222"/>
        <rFont val="&quot;Work Sans&quot;, sans-serif"/>
      </rPr>
      <t>Publicada no DOE de 12/04/2005</t>
    </r>
  </si>
  <si>
    <t>Lei nº 1.972, de 27/12/2007Publicada no DOE de 31/12/2007</t>
  </si>
  <si>
    <r>
      <rPr>
        <i/>
        <u/>
        <sz val="8"/>
        <color rgb="FF1155CC"/>
        <rFont val="&quot;Work Sans&quot;, sans-serif"/>
      </rPr>
      <t>Decreto nº 11.753, de 11/09/2025</t>
    </r>
    <r>
      <rPr>
        <i/>
        <sz val="8"/>
        <color rgb="FF222222"/>
        <rFont val="&quot;Work Sans&quot;, sans-serif"/>
      </rPr>
      <t>Publicado no DOE de 12/09/2025</t>
    </r>
  </si>
  <si>
    <t>Altera a Lei nº 4.395, de 19 de agosto de 2024, que dispõe sobre a compensação ambiental e a reposição florestal no Estado, seus fins e mecanismos de formulação e aplicação.</t>
  </si>
  <si>
    <t>Dispõe sobre o Plano Plurianual para o quadriênio de 2008 - 2011.</t>
  </si>
  <si>
    <t>Institui a Gratificação de Atividades Ambiental – GAA aos servidores da Secretaria de Meio Ambiente e Recursos Naturais - SEMA.</t>
  </si>
  <si>
    <t>Secretaria de Meio Ambiente e Recursos Naturais - SEMA.</t>
  </si>
  <si>
    <t>Dispõe sobre a criação Comissão de Educação Ambiental do Estado do Acre.</t>
  </si>
  <si>
    <r>
      <rPr>
        <i/>
        <u/>
        <sz val="8"/>
        <color rgb="FF1155CC"/>
        <rFont val="&quot;Work Sans&quot;, sans-serif"/>
      </rPr>
      <t>Lei nº 4.397, de 19/08/2024</t>
    </r>
    <r>
      <rPr>
        <i/>
        <sz val="8"/>
        <color rgb="FF222222"/>
        <rFont val="&quot;Work Sans&quot;, sans-serif"/>
      </rPr>
      <t>Publicada no DOE de 21/08/2024</t>
    </r>
  </si>
  <si>
    <r>
      <rPr>
        <i/>
        <u/>
        <sz val="8"/>
        <color rgb="FF1155CC"/>
        <rFont val="&quot;Work Sans&quot;, sans-serif"/>
      </rPr>
      <t>Lei Complementar nº 116, de 07/07/2003</t>
    </r>
    <r>
      <rPr>
        <i/>
        <sz val="8"/>
        <color rgb="FF222222"/>
        <rFont val="&quot;Work Sans&quot;, sans-serif"/>
      </rPr>
      <t>Publicada no DOE de 08/07/2003</t>
    </r>
  </si>
  <si>
    <r>
      <rPr>
        <i/>
        <u/>
        <sz val="8"/>
        <color rgb="FF1155CC"/>
        <rFont val="&quot;Work Sans&quot;, sans-serif"/>
      </rPr>
      <t>Decreto nº 11.751, de 08/09/2025</t>
    </r>
    <r>
      <rPr>
        <i/>
        <sz val="8"/>
        <color rgb="FF222222"/>
        <rFont val="&quot;Work Sans&quot;, sans-serif"/>
      </rPr>
      <t>Publicado no DOE de 09/09/2025</t>
    </r>
  </si>
  <si>
    <t>Altera a Lei nº 1.117 de 26 de janeiro de 1994, que dispõe sobre a política ambiental do Estado do Acre e dá outras providências.</t>
  </si>
  <si>
    <t>Lei nº 1.521, de 26/12/2003Publicada no DOE de 31/12/2003</t>
  </si>
  <si>
    <t>Dispõe sobre a Estrutura Organizacional Básica do Instituto de Meio Ambiente do Acre - IMAC e dá outras providências.</t>
  </si>
  <si>
    <t>Altera o Decreto nº 11.681, de 22 de abril de 2025, dispõe sobre o Grupo de Trabalho visando ao diagnóstico, avaliação e apresentação de medidas e políticas internas a serem implementados para a efetivação da transição energética no âmbito da Administração Pública estadual, para tratar da composição do Colegiado.</t>
  </si>
  <si>
    <r>
      <rPr>
        <i/>
        <u/>
        <sz val="8"/>
        <color rgb="FF1155CC"/>
        <rFont val="&quot;Work Sans&quot;, sans-serif"/>
      </rPr>
      <t>Lei nº 4.396, de 19/08/2024</t>
    </r>
    <r>
      <rPr>
        <i/>
        <sz val="8"/>
        <color rgb="FF222222"/>
        <rFont val="&quot;Work Sans&quot;, sans-serif"/>
      </rPr>
      <t>Publicada no DOE de 21/08/2024</t>
    </r>
  </si>
  <si>
    <r>
      <rPr>
        <i/>
        <u/>
        <sz val="8"/>
        <color rgb="FF1155CC"/>
        <rFont val="&quot;Work Sans&quot;, sans-serif"/>
      </rPr>
      <t>Lei nº 1.478, de 15/01/2003</t>
    </r>
    <r>
      <rPr>
        <i/>
        <sz val="8"/>
        <color rgb="FF222222"/>
        <rFont val="&quot;Work Sans&quot;, sans-serif"/>
      </rPr>
      <t>Publicada no DOE de 22/01/2003</t>
    </r>
  </si>
  <si>
    <r>
      <rPr>
        <i/>
        <u/>
        <sz val="8"/>
        <color rgb="FF1155CC"/>
        <rFont val="&quot;Work Sans&quot;, sans-serif"/>
      </rPr>
      <t>Decreto nº 11.749, de 08/09/2025</t>
    </r>
    <r>
      <rPr>
        <i/>
        <sz val="8"/>
        <color rgb="FF222222"/>
        <rFont val="&quot;Work Sans&quot;, sans-serif"/>
      </rPr>
      <t>Publicado no DOE de 09/09/2025</t>
    </r>
  </si>
  <si>
    <t>Dispõe sobre o Plano Plurianual para o quadriênio 2004-2007 e dá outras providências.</t>
  </si>
  <si>
    <t>Cria o Instituto de Defesa Agropecuária e Florestal do Estado do Acre – IDAF/AC e define sua competência e organização básica.</t>
  </si>
  <si>
    <t>Altera a Lei n° 1.787, de 3 de julho de 2006, que autoriza o Poder Executivo, através do Instituto de Terras do Acre - ITERACRE, a outorgar, sob condição resolutiva, concessão de direito de uso nas áreas das Florestas Públicas Estaduais do Rio Gregório, do Rio Liberdade, do Mogno, do Antimary e do Afluente do Complexo do Seringal Jurupari, para efeito de regularização fundiária e dá outras providências.</t>
  </si>
  <si>
    <t>Lei nº 1.307, de 24/12/1999Publicada no DOE de 31/12/1999</t>
  </si>
  <si>
    <t>Dispõe sobre a desvinculação de recursos das receitas do Instituto de Defesa Agropecuária e Florestal do Estado do Acre - IDAF referentes ao exercício de 2025, para destinação ao Departamento de Estradas de Rodagem, Infraestrutura Hidroviária e Aeroportuária do Acre - DERACRE.</t>
  </si>
  <si>
    <r>
      <rPr>
        <i/>
        <u/>
        <sz val="8"/>
        <color rgb="FF1155CC"/>
        <rFont val="&quot;Work Sans&quot;, sans-serif"/>
      </rPr>
      <t>Lei nº 1.418, de 24/10/2001</t>
    </r>
    <r>
      <rPr>
        <i/>
        <sz val="8"/>
        <color rgb="FF222222"/>
        <rFont val="&quot;Work Sans&quot;, sans-serif"/>
      </rPr>
      <t>Publicada no DOE de 26/10/2001</t>
    </r>
  </si>
  <si>
    <r>
      <rPr>
        <i/>
        <u/>
        <sz val="8"/>
        <color rgb="FF1155CC"/>
        <rFont val="&quot;Work Sans&quot;, sans-serif"/>
      </rPr>
      <t>Decreto nº 11.744, de 28/08/2025</t>
    </r>
    <r>
      <rPr>
        <i/>
        <sz val="8"/>
        <color rgb="FF222222"/>
        <rFont val="&quot;Work Sans&quot;, sans-serif"/>
      </rPr>
      <t>Publicado no DOE de 29/08/2025</t>
    </r>
  </si>
  <si>
    <r>
      <rPr>
        <i/>
        <u/>
        <sz val="8"/>
        <color rgb="FF1155CC"/>
        <rFont val="&quot;Work Sans&quot;, sans-serif"/>
      </rPr>
      <t>Lei nº 4.395, de 19/08/2024</t>
    </r>
    <r>
      <rPr>
        <i/>
        <sz val="8"/>
        <color rgb="FF222222"/>
        <rFont val="&quot;Work Sans&quot;, sans-serif"/>
      </rPr>
      <t>Publicada no DOE de 20/08/2024</t>
    </r>
  </si>
  <si>
    <t>Dispõe sobre o Plano Plurianual para o quadriênio 2000-2003 e dá outras providências.</t>
  </si>
  <si>
    <t>Institui o Plano de Cargos, Carreira e Remuneração dos Servidores do Instituto do Meio Ambiente do Acre – IMAC.</t>
  </si>
  <si>
    <t>Altera o Decreto nº 11.681, de 22 de abril de 2025, dispõe sobre o Grupo de Trabalho visando ao diagnóstico, avaliação e apresentação de medidas e políticas internas a serem implementados para a efetivação da transição energética no âmbito da Administração Pública estadual, para tratar das competências do Colegiado e do plano de ações</t>
  </si>
  <si>
    <t>Dispõe sobre a compensação ambiental e a reposição florestal no Estado, seus fins e mecanismos de formulação e aplicação e altera a Lei nº 1.904, de 5 de junho de 2007, que institui o zoneamento ecológico-econômico do Estado do Acre.</t>
  </si>
  <si>
    <r>
      <rPr>
        <i/>
        <u/>
        <sz val="8"/>
        <color rgb="FF1155CC"/>
        <rFont val="&quot;Work Sans&quot;, sans-serif"/>
      </rPr>
      <t>Decreto nº 11.732, de 05/08/2025</t>
    </r>
    <r>
      <rPr>
        <i/>
        <sz val="8"/>
        <color rgb="FF222222"/>
        <rFont val="&quot;Work Sans&quot;, sans-serif"/>
      </rPr>
      <t>Publicado no DOE de 06/08/2025</t>
    </r>
  </si>
  <si>
    <r>
      <rPr>
        <i/>
        <u/>
        <sz val="8"/>
        <color rgb="FF1155CC"/>
        <rFont val="&quot;Work Sans&quot;, sans-serif"/>
      </rPr>
      <t>Lei nº 1.311, de 29/12/1999</t>
    </r>
    <r>
      <rPr>
        <i/>
        <sz val="8"/>
        <color rgb="FF222222"/>
        <rFont val="&quot;Work Sans&quot;, sans-serif"/>
      </rPr>
      <t>Publicada no DOE de 06/01/2000</t>
    </r>
  </si>
  <si>
    <t>Lei nº 1.162, de 27/10/1995Publicada no DOE de 31/10/1995</t>
  </si>
  <si>
    <r>
      <rPr>
        <i/>
        <u/>
        <sz val="8"/>
        <color rgb="FF1155CC"/>
        <rFont val="&quot;Work Sans&quot;, sans-serif"/>
      </rPr>
      <t>Lei nº 4.393, de 13/08/2024</t>
    </r>
    <r>
      <rPr>
        <i/>
        <sz val="8"/>
        <color rgb="FF222222"/>
        <rFont val="&quot;Work Sans&quot;, sans-serif"/>
      </rPr>
      <t>Publicada no DOE de 16/08/2024</t>
    </r>
  </si>
  <si>
    <t>Dispõe sobre a ratificação da estratégia de repartição de benefícios do Programa ISA CARBONO.</t>
  </si>
  <si>
    <t>Institui a política de Incentivo à produção de café de qualidade no Estado.</t>
  </si>
  <si>
    <t>Dispõe sobre o Plano Plurianual para o quadriênio 1996-1999, e dá outras providências.</t>
  </si>
  <si>
    <r>
      <rPr>
        <i/>
        <u/>
        <sz val="8"/>
        <color rgb="FF1155CC"/>
        <rFont val="&quot;Work Sans&quot;, sans-serif"/>
      </rPr>
      <t>Decreto nº 11.681, de 22/04/2025</t>
    </r>
    <r>
      <rPr>
        <i/>
        <sz val="8"/>
        <color rgb="FF222222"/>
        <rFont val="&quot;Work Sans&quot;, sans-serif"/>
      </rPr>
      <t>Publicado no DOE de 23/04/2025</t>
    </r>
  </si>
  <si>
    <t>Cria gratificações aos servidores que exercem as funções de Inspeção e de Defesa e Fiscalização Sanitária e Industrial dos Produtos de Origem Animal e Vegetal, da Secretaria Executiva de Agricultura e Pecuária, no Estado do Acre, e dá outras providências.</t>
  </si>
  <si>
    <r>
      <rPr>
        <i/>
        <u/>
        <sz val="8"/>
        <color rgb="FF1155CC"/>
        <rFont val="&quot;Work Sans&quot;, sans-serif"/>
      </rPr>
      <t>Lei nº 4.373, de 11/07/2024</t>
    </r>
    <r>
      <rPr>
        <i/>
        <sz val="8"/>
        <color rgb="FF222222"/>
        <rFont val="&quot;Work Sans&quot;, sans-serif"/>
      </rPr>
      <t>Publicada no DOE de 12/07/2024</t>
    </r>
  </si>
  <si>
    <r>
      <rPr>
        <i/>
        <u/>
        <sz val="8"/>
        <color rgb="FF1155CC"/>
        <rFont val="&quot;Work Sans&quot;, sans-serif"/>
      </rPr>
      <t>Lei Complementar nº 70, de 05/07/1999</t>
    </r>
    <r>
      <rPr>
        <i/>
        <sz val="8"/>
        <color rgb="FF222222"/>
        <rFont val="&quot;Work Sans&quot;, sans-serif"/>
      </rPr>
      <t>Publicada no DOE de 07/07/1999</t>
    </r>
  </si>
  <si>
    <t>Lei nº 1.054, de 03/11/1992Publicada no DOE de 11/11/1992</t>
  </si>
  <si>
    <t>Dispõe sobre o Grupo de Trabalho visando ao diagnóstico, avaliação e apresentação de medidas e políticas internas a serem implementados para a efetivação da transição energética no âmbito da Administração Pública estadual.</t>
  </si>
  <si>
    <t>Dispõe sobre a contratação de operação de crédito externo com o Banco Interamericano de Desenvolvimento - BID, com garantia da União, visando ao financiamento do Programa Acre Mais Produtivo - PROAMP.</t>
  </si>
  <si>
    <r>
      <rPr>
        <i/>
        <u/>
        <sz val="8"/>
        <color rgb="FF1155CC"/>
        <rFont val="&quot;Work Sans&quot;, sans-serif"/>
      </rPr>
      <t>Decreto nº 11.676, de 11/04/2025</t>
    </r>
    <r>
      <rPr>
        <i/>
        <sz val="8"/>
        <color rgb="FF222222"/>
        <rFont val="&quot;Work Sans&quot;, sans-serif"/>
      </rPr>
      <t>Publicado no DOE de 11/04/2025</t>
    </r>
  </si>
  <si>
    <r>
      <rPr>
        <i/>
        <u/>
        <sz val="8"/>
        <color rgb="FF1155CC"/>
        <rFont val="&quot;Work Sans&quot;, sans-serif"/>
      </rPr>
      <t>Lei nº 4.313, de 05/01/2024</t>
    </r>
    <r>
      <rPr>
        <i/>
        <sz val="8"/>
        <color rgb="FF222222"/>
        <rFont val="&quot;Work Sans&quot;, sans-serif"/>
      </rPr>
      <t>Publicada no DOE de 08/01/2024</t>
    </r>
  </si>
  <si>
    <t>Dispõe sobre o Plano Plurianual para o quadriênio 1992 – 1995, e dá outras providências.</t>
  </si>
  <si>
    <t>Dispõe sobre a estrutura organizacional básica, os cargos em comissão e funções gratificadas do Instituto de Meio Ambiente do Acre, fixa-lhe a remuneração correspondente e dá outras providências.</t>
  </si>
  <si>
    <r>
      <rPr>
        <i/>
        <u/>
        <sz val="8"/>
        <color rgb="FF1155CC"/>
        <rFont val="&quot;Work Sans&quot;, sans-serif"/>
      </rPr>
      <t>Lei nº 860, de 09/04/1987</t>
    </r>
    <r>
      <rPr>
        <i/>
        <sz val="8"/>
        <color rgb="FF222222"/>
        <rFont val="&quot;Work Sans&quot;, sans-serif"/>
      </rPr>
      <t>Publicada no DOE de 14/04/1987</t>
    </r>
  </si>
  <si>
    <t>Dispõe sobre a obrigatoriedade do estudo de educação ambiental e crimes ambientais, incluindo maus-tratos aos animais domésticos e silvestres, como disciplina em conteúdo programático dos cursos de formação de policiais civis, militares e bombeiros.</t>
  </si>
  <si>
    <t>Altera o Decreto nº 11.564, de 11 de outubro de 2024, que regulamenta a Lei nº 1.277, de 13 de janeiro de 1999, que institui a subvenção econômica aos produtores estaduais na exploração de produtos florestais.</t>
  </si>
  <si>
    <t>Lei nº 1.005, de 14/11/1991Publicada no DOE de 29/11/1991</t>
  </si>
  <si>
    <r>
      <rPr>
        <i/>
        <u/>
        <sz val="8"/>
        <color rgb="FF1155CC"/>
        <rFont val="&quot;Work Sans&quot;, sans-serif"/>
      </rPr>
      <t>Lei nº 4.295, de 27/12/2023</t>
    </r>
    <r>
      <rPr>
        <i/>
        <sz val="8"/>
        <color rgb="FF222222"/>
        <rFont val="&quot;Work Sans&quot;, sans-serif"/>
      </rPr>
      <t>Publicada no DOE de 29/12/2023</t>
    </r>
  </si>
  <si>
    <r>
      <rPr>
        <i/>
        <u/>
        <sz val="8"/>
        <color rgb="FF1155CC"/>
        <rFont val="&quot;Work Sans&quot;, sans-serif"/>
      </rPr>
      <t>Decreto nº 11.645, de 24/02/2025</t>
    </r>
    <r>
      <rPr>
        <i/>
        <sz val="8"/>
        <color rgb="FF222222"/>
        <rFont val="&quot;Work Sans&quot;, sans-serif"/>
      </rPr>
      <t>Publicado no DOE de 25/02/2025</t>
    </r>
  </si>
  <si>
    <t>Institui a Secretaria do Desenvolvimento Urbano e Meio Ambiente – SEDUMA e dá outras providências.</t>
  </si>
  <si>
    <r>
      <rPr>
        <i/>
        <u/>
        <sz val="8"/>
        <color rgb="FF1155CC"/>
        <rFont val="&quot;Work Sans&quot;, sans-serif"/>
      </rPr>
      <t>Lei nº 851, de 23/10/1986</t>
    </r>
    <r>
      <rPr>
        <i/>
        <sz val="8"/>
        <color rgb="FF222222"/>
        <rFont val="&quot;Work Sans&quot;, sans-serif"/>
      </rPr>
      <t>Publicada no DOE de 29/10/1986</t>
    </r>
  </si>
  <si>
    <t>Dispõe sobre o Plano Plurianual para o quadriênio 1992-1995 e dá outras providências.</t>
  </si>
  <si>
    <t>Altera a Lei nº 725, de 13 de dezembro de 1980, que institui o Fundo Agropecuário Estadual - FUNAGRO.</t>
  </si>
  <si>
    <t>Altera o Decreto nº 11.586, de 14 de novembro de 2024, que dispõe sobre a convocação da 5ª Conferência Estadual do Meio Ambiente - CEMA, para tratar da data da etapa estadual do Evento.</t>
  </si>
  <si>
    <r>
      <rPr>
        <i/>
        <u/>
        <sz val="8"/>
        <color rgb="FF1155CC"/>
        <rFont val="&quot;Work Sans&quot;, sans-serif"/>
      </rPr>
      <t>Lei nº 4.139, de 24/07/2023</t>
    </r>
    <r>
      <rPr>
        <i/>
        <sz val="8"/>
        <color rgb="FF222222"/>
        <rFont val="&quot;Work Sans&quot;, sans-serif"/>
      </rPr>
      <t>Publicada no DOE de 25/07/2023</t>
    </r>
  </si>
  <si>
    <r>
      <rPr>
        <i/>
        <u/>
        <sz val="8"/>
        <color rgb="FF1155CC"/>
        <rFont val="&quot;Work Sans&quot;, sans-serif"/>
      </rPr>
      <t>Decreto nº 11.639, de 11/02/2025</t>
    </r>
    <r>
      <rPr>
        <i/>
        <sz val="8"/>
        <color rgb="FF222222"/>
        <rFont val="&quot;Work Sans&quot;, sans-serif"/>
      </rPr>
      <t>Publicado no DOE de 12/02/2025</t>
    </r>
  </si>
  <si>
    <t>Cria no âmbito da Secretaria de Planejamento e Coordenação do Governo do Estado do Acre o Instituto de Meio Ambiente do Acre - IMAC, e dá outras providências.</t>
  </si>
  <si>
    <t>Estabelece a estrutura organizacional básica da Ouvidoria Fundiária e do Meio Ambiente.</t>
  </si>
  <si>
    <t>Dispõe sobre a concessão de isenção do Imposto sobre Operações Relativas à Circulação de Mercadorias e sobre Prestações de Serviços de Transporte Interestadual e Intermunicipal e de Comunicação - ICMS nas operações com produtos hortifrutícolas, conforme estabelecido no Convênio ICM 44, de 10 de dezembro de 1975, do Conselho Nacional de Política Fazendária - CONFAZ.</t>
  </si>
  <si>
    <r>
      <rPr>
        <i/>
        <u/>
        <sz val="8"/>
        <color rgb="FF1155CC"/>
        <rFont val="&quot;Work Sans&quot;, sans-serif"/>
      </rPr>
      <t>Decreto nº 11.624, de 13/01/2025</t>
    </r>
    <r>
      <rPr>
        <i/>
        <sz val="8"/>
        <color rgb="FF222222"/>
        <rFont val="&quot;Work Sans&quot;, sans-serif"/>
      </rPr>
      <t>Publicado no DOE de 14/01/2025</t>
    </r>
  </si>
  <si>
    <r>
      <rPr>
        <i/>
        <u/>
        <sz val="8"/>
        <color rgb="FF1155CC"/>
        <rFont val="&quot;Work Sans&quot;, sans-serif"/>
      </rPr>
      <t>Lei nº 4.132, de 17/07/2023</t>
    </r>
    <r>
      <rPr>
        <i/>
        <sz val="8"/>
        <color rgb="FF222222"/>
        <rFont val="&quot;Work Sans&quot;, sans-serif"/>
      </rPr>
      <t>Publicada no DOE de 20/07/2023</t>
    </r>
  </si>
  <si>
    <t>Aprova o Regimento Interno do Conselho Estadual de Meio Ambiente e Floresta - CEMAF.</t>
  </si>
  <si>
    <r>
      <rPr>
        <i/>
        <u/>
        <sz val="8"/>
        <color rgb="FF1155CC"/>
        <rFont val="&quot;Work Sans&quot;, sans-serif"/>
      </rPr>
      <t>Decreto nº 11.618, de 02/01/2025</t>
    </r>
    <r>
      <rPr>
        <i/>
        <sz val="8"/>
        <color rgb="FF222222"/>
        <rFont val="&quot;Work Sans&quot;, sans-serif"/>
      </rPr>
      <t>Publicado no DOE de 03/01/2025</t>
    </r>
  </si>
  <si>
    <t>Dispõe sobre estímulos ao desenvolvimento científico à pesquisa, à capacitação científica e tecnológica e à inovação do sistema produtivo no Estado.</t>
  </si>
  <si>
    <r>
      <rPr>
        <i/>
        <u/>
        <sz val="8"/>
        <color rgb="FF1155CC"/>
        <rFont val="&quot;Work Sans&quot;, sans-serif"/>
      </rPr>
      <t>Lei nº 3.981, de 03/10/2022</t>
    </r>
    <r>
      <rPr>
        <i/>
        <sz val="8"/>
        <color rgb="FF222222"/>
        <rFont val="&quot;Work Sans&quot;, sans-serif"/>
      </rPr>
      <t>Publicada no DOE de 07/10/2022</t>
    </r>
  </si>
  <si>
    <t>Altera o Decreto nº 4.196, de 1º de outubro de 2001, que dispõe sobre o Regulamento Operativo do Programa de Incentivo Tributário para Empresas, Cooperativas e Associações de Produtores dos Setores Industrial, Agroindustrial, Florestal, Industrial Extrativo Vegetal e Industria Turística do Estado do Acre.</t>
  </si>
  <si>
    <t>REVOGADA NA ÍNTEGRA</t>
  </si>
  <si>
    <r>
      <rPr>
        <i/>
        <u/>
        <sz val="8"/>
        <color rgb="FF1155CC"/>
        <rFont val="&quot;Work Sans&quot;, sans-serif"/>
      </rPr>
      <t>Decreto nº 11.617, de 30/12/2024</t>
    </r>
    <r>
      <rPr>
        <i/>
        <sz val="8"/>
        <color rgb="FF222222"/>
        <rFont val="&quot;Work Sans&quot;, sans-serif"/>
      </rPr>
      <t>Publicado no DOE de 02/01/2025</t>
    </r>
  </si>
  <si>
    <t>Dispõe sobre o nome José Sidenir das Chagas ao complexo de florestas estaduais do Rio Gregório.</t>
  </si>
  <si>
    <r>
      <rPr>
        <i/>
        <u/>
        <sz val="8"/>
        <color rgb="FF1155CC"/>
        <rFont val="&quot;Work Sans&quot;, sans-serif"/>
      </rPr>
      <t>Lei nº 3.977, de 15/09/2022</t>
    </r>
    <r>
      <rPr>
        <i/>
        <sz val="8"/>
        <color rgb="FF222222"/>
        <rFont val="&quot;Work Sans&quot;, sans-serif"/>
      </rPr>
      <t>Publicada no DOE de 16/09/2022</t>
    </r>
  </si>
  <si>
    <t>Dispõe sobre a Comissão Organizadora Executiva para a 15ª Reunião Anual da Força-Tarefa de Clima e Florestas dos Governadores.</t>
  </si>
  <si>
    <r>
      <rPr>
        <i/>
        <u/>
        <sz val="8"/>
        <color rgb="FF1155CC"/>
        <rFont val="&quot;Work Sans&quot;, sans-serif"/>
      </rPr>
      <t>Decreto nº 11.607, de 16/12/2024</t>
    </r>
    <r>
      <rPr>
        <i/>
        <sz val="8"/>
        <color rgb="FF222222"/>
        <rFont val="&quot;Work Sans&quot;, sans-serif"/>
      </rPr>
      <t>Publicado no DOE de 17/12/2024</t>
    </r>
  </si>
  <si>
    <t>Altera a Lei nº 3.938, de 25 de abril de 2022, que dispõe sobre a redução da base de cálculo do ICMS nas operações interestaduais com bovinos e altera dispositivos da Lei nº 725, de 13 de dezembro de 1980, que institui o Fundo Agropecuário Estadual – FUNAGRO, e dá outras providências.</t>
  </si>
  <si>
    <r>
      <rPr>
        <i/>
        <u/>
        <sz val="8"/>
        <color rgb="FF1155CC"/>
        <rFont val="&quot;Work Sans&quot;, sans-serif"/>
      </rPr>
      <t>Lei nº 3.973, de 25/07/2022</t>
    </r>
    <r>
      <rPr>
        <i/>
        <sz val="8"/>
        <color rgb="FF222222"/>
        <rFont val="&quot;Work Sans&quot;, sans-serif"/>
      </rPr>
      <t>Publicada no DOE de 27/07/2022</t>
    </r>
  </si>
  <si>
    <t>Dispõe sobre a desvinculação de recursos das receitas do Instituto de Defesa Agropecuária e Florestal do Estado do Acre - IDAF referentes ao exercício de 2024, para destinação ao Departamento de Estradas de Rodagem, Infraestrutura Hidroviária e Aeroportuária do Acre - DERACRE.</t>
  </si>
  <si>
    <r>
      <rPr>
        <i/>
        <u/>
        <sz val="8"/>
        <color rgb="FF1155CC"/>
        <rFont val="&quot;Work Sans&quot;, sans-serif"/>
      </rPr>
      <t>Decreto nº 11.586, de 14/11/2024</t>
    </r>
    <r>
      <rPr>
        <i/>
        <sz val="8"/>
        <color rgb="FF222222"/>
        <rFont val="&quot;Work Sans&quot;, sans-serif"/>
      </rPr>
      <t>Publicado no DOE de 14/11/2024</t>
    </r>
  </si>
  <si>
    <t>Ratifica o Protocolo de Intenções firmado entre os Estados do Acre, Alagoas, Amapá, Bahia, Distrito Federal, Espírito Santo, Goiás, Maranhão, Mato Grosso, Mato Grosso do Sul, Minas Gerais, Pará, Paraíba, Paraná, Pernambuco, Piauí, Rio Grande do Norte, Rio Grande do Sul, Roraima, Santa Catarina, São Paulo, Sergipe e Tocantins, para a constituição do Consórcio Interestadual com o objetivo de promover o enfrentamento aos efeitos adversos das mudanças do clima no Brasil.</t>
  </si>
  <si>
    <r>
      <rPr>
        <i/>
        <u/>
        <sz val="8"/>
        <color rgb="FF1155CC"/>
        <rFont val="&quot;Work Sans&quot;, sans-serif"/>
      </rPr>
      <t>Lei nº 3.938, de 25/04/2022</t>
    </r>
    <r>
      <rPr>
        <i/>
        <sz val="8"/>
        <color rgb="FF222222"/>
        <rFont val="&quot;Work Sans&quot;, sans-serif"/>
      </rPr>
      <t>Publicada no DOE de 28/04/2022</t>
    </r>
  </si>
  <si>
    <t>Dispõe sobre a convocação da 5ª Conferência Estadual do Meio Ambiente - CEMA.</t>
  </si>
  <si>
    <t>Dispõe sobre a redução da base de cálculo do ICMS nas operações interestaduais com bovinos e altera dispositivos da Lei nº 725, de 13 de dezembro de 1980, que institui o Fundo Agropecuário Estadual – FUNAGRO, e dá outras providências</t>
  </si>
  <si>
    <r>
      <rPr>
        <i/>
        <u/>
        <sz val="8"/>
        <color rgb="FF1155CC"/>
        <rFont val="&quot;Work Sans&quot;, sans-serif"/>
      </rPr>
      <t>Decreto nº 11.572, de 21/10/2024</t>
    </r>
    <r>
      <rPr>
        <i/>
        <sz val="8"/>
        <color rgb="FF222222"/>
        <rFont val="&quot;Work Sans&quot;, sans-serif"/>
      </rPr>
      <t>Publicado no DOE de 22/10/2024</t>
    </r>
  </si>
  <si>
    <r>
      <rPr>
        <i/>
        <u/>
        <sz val="8"/>
        <color rgb="FF1155CC"/>
        <rFont val="&quot;Work Sans&quot;, sans-serif"/>
      </rPr>
      <t>Lei nº 3.881, de 17/12/2021</t>
    </r>
    <r>
      <rPr>
        <i/>
        <sz val="8"/>
        <color rgb="FF222222"/>
        <rFont val="&quot;Work Sans&quot;, sans-serif"/>
      </rPr>
      <t>Publicada no DOE de 23/12/2021</t>
    </r>
  </si>
  <si>
    <t>Altera o Decreto nº 11.367, de 23 de novembro de 2023, que dispõe sobre a estrutura organizacional básica do Instituto de Meio Ambiente do Acre - IMAC.</t>
  </si>
  <si>
    <r>
      <rPr>
        <i/>
        <u/>
        <sz val="8"/>
        <color rgb="FF1155CC"/>
        <rFont val="&quot;Work Sans&quot;, sans-serif"/>
      </rPr>
      <t>Decreto nº 11.564, de 11/10/2024</t>
    </r>
    <r>
      <rPr>
        <i/>
        <sz val="8"/>
        <color rgb="FF222222"/>
        <rFont val="&quot;Work Sans&quot;, sans-serif"/>
      </rPr>
      <t>Publicado no DOE de 14/10/2024</t>
    </r>
  </si>
  <si>
    <t>Institui o Programa Estadual de Fomento “Novos Horizontes”, destinado às cooperativas e associações de agricultura familiar, por meio de estratégias de inclusão produtivas, com vistas à promoção da segurança alimentar e nutricional, e contribuindo para o incremento da renda dos beneficiários e de suas famílias.</t>
  </si>
  <si>
    <r>
      <rPr>
        <i/>
        <u/>
        <sz val="8"/>
        <color rgb="FF1155CC"/>
        <rFont val="&quot;Work Sans&quot;, sans-serif"/>
      </rPr>
      <t>Lei nº 3.880, de 17/12/2021</t>
    </r>
    <r>
      <rPr>
        <i/>
        <sz val="8"/>
        <color rgb="FF222222"/>
        <rFont val="&quot;Work Sans&quot;, sans-serif"/>
      </rPr>
      <t>Publicada no DOE de 23/12/2021</t>
    </r>
  </si>
  <si>
    <t>Regulamenta a Lei nº 1.277, de 13 de janeiro de 1999, que institui a subvenção econômica aos produtores estaduais na exploração de produtos florestais e revoga o Decreto nº 6.153, de 16 de junho de 2020.</t>
  </si>
  <si>
    <r>
      <rPr>
        <i/>
        <u/>
        <sz val="8"/>
        <color rgb="FF1155CC"/>
        <rFont val="&quot;Work Sans&quot;, sans-serif"/>
      </rPr>
      <t>Decreto nº 11.558, de 27/09/2024</t>
    </r>
    <r>
      <rPr>
        <i/>
        <sz val="8"/>
        <color rgb="FF222222"/>
        <rFont val="&quot;Work Sans&quot;, sans-serif"/>
      </rPr>
      <t>Publicado no DOE de 30/09/2024</t>
    </r>
  </si>
  <si>
    <t>Altera a Lei nº 2.308, de 22 de outubro de 2010, que cria o Sistema Estadual de Incentivos a Serviços Ambientais – SISA, o Programa de Incentivos por Serviços Ambientais – ISA Carbono e demais Programas de Serviços Ambientais e Produtos Ecossistêmicos do Estado do Acre e dá outras providências.</t>
  </si>
  <si>
    <t>Dispõe sobre a instituição do Grupo de Trabalho para acompanhamento e cumprimento de reintegração de posse do Complexo de Florestas Estaduais do Rio Gregório - CFERG.</t>
  </si>
  <si>
    <r>
      <rPr>
        <i/>
        <u/>
        <sz val="8"/>
        <color rgb="FF1155CC"/>
        <rFont val="&quot;Work Sans&quot;, sans-serif"/>
      </rPr>
      <t>Lei nº 3.870, de 17/12/2021</t>
    </r>
    <r>
      <rPr>
        <i/>
        <sz val="8"/>
        <color rgb="FF222222"/>
        <rFont val="&quot;Work Sans&quot;, sans-serif"/>
      </rPr>
      <t>Publicada no DOE de 21/12/2021</t>
    </r>
  </si>
  <si>
    <r>
      <rPr>
        <i/>
        <u/>
        <sz val="8"/>
        <color rgb="FF1155CC"/>
        <rFont val="&quot;Work Sans&quot;, sans-serif"/>
      </rPr>
      <t>Decreto nº 11.553, de 11/09/2024</t>
    </r>
    <r>
      <rPr>
        <i/>
        <sz val="8"/>
        <color rgb="FF222222"/>
        <rFont val="&quot;Work Sans&quot;, sans-serif"/>
      </rPr>
      <t>Publicado no DOE de 13/09/2024</t>
    </r>
  </si>
  <si>
    <t>Dispõe sobre a isenção do Imposto sobre Operações Relativas a Circulação de Mercadorias e sobre Prestações de Serviço de Transporte Interestadual e Intermunicipal e de Comunicação – ICMS, nas operações com reprodutores e matrizes de animais vacuns, ovinos, suínos e bufalinos, puros de origem, puros por cruza ou de livro aberto de vacuns, nos termos do Convênio ICM nº 35, de 7 de dezembro de 1977 e do Convênio ICMS nº 95, de 8 de julho de 2021.</t>
  </si>
  <si>
    <t>Dispõe sobre a desvinculação de recursos das receitas do Instituto de Defesa Agropecuária e Florestal do Estado do Acre - IDAF referentes ao exercício de 2024, para destinação à Secretaria de Estado da Casa Civil - SECC.</t>
  </si>
  <si>
    <r>
      <rPr>
        <i/>
        <u/>
        <sz val="8"/>
        <color rgb="FF1155CC"/>
        <rFont val="&quot;Work Sans&quot;, sans-serif"/>
      </rPr>
      <t>Lei nº 3.807, de 22/11/2021</t>
    </r>
    <r>
      <rPr>
        <i/>
        <sz val="8"/>
        <color rgb="FF222222"/>
        <rFont val="&quot;Work Sans&quot;, sans-serif"/>
      </rPr>
      <t>Publicada no DOE de 24/11/2021</t>
    </r>
  </si>
  <si>
    <r>
      <rPr>
        <i/>
        <u/>
        <sz val="8"/>
        <color rgb="FF1155CC"/>
        <rFont val="&quot;Work Sans&quot;, sans-serif"/>
      </rPr>
      <t>Decreto nº 11.535, de 19/08/2024</t>
    </r>
    <r>
      <rPr>
        <i/>
        <sz val="8"/>
        <color rgb="FF222222"/>
        <rFont val="&quot;Work Sans&quot;, sans-serif"/>
      </rPr>
      <t>Publicado no DOE de 20/08/2024</t>
    </r>
  </si>
  <si>
    <t>Altera e revoga dispositivos da Lei nº 3.161, de 9 de agosto de 2016, que dispõe sobre a criação do sistema de inscrição, cobrança e parcelamento dos créditos de natureza não tributária, inscritos na dívida ativa, decorrentes de multa por infração ambiental.</t>
  </si>
  <si>
    <r>
      <rPr>
        <i/>
        <u/>
        <sz val="8"/>
        <color rgb="FF1155CC"/>
        <rFont val="&quot;Work Sans&quot;, sans-serif"/>
      </rPr>
      <t>Lei nº 3.797, de 28/10/2021</t>
    </r>
    <r>
      <rPr>
        <i/>
        <sz val="8"/>
        <color rgb="FF222222"/>
        <rFont val="&quot;Work Sans&quot;, sans-serif"/>
      </rPr>
      <t>Publicada no DOE de 04/11/2021</t>
    </r>
  </si>
  <si>
    <t>Dispõe sobre situação de emergência em decorrência de incêndios em áreas de cobertura florestal, queimadas descontroladas e elevada emissão de fumaça em todo o Estado do Acre.</t>
  </si>
  <si>
    <t>METAS e PRIORIDADES - Programa/Código</t>
  </si>
  <si>
    <t>Meio Amnbiente</t>
  </si>
  <si>
    <r>
      <rPr>
        <i/>
        <u/>
        <sz val="8"/>
        <color rgb="FF1155CC"/>
        <rFont val="&quot;Work Sans&quot;, sans-serif"/>
      </rPr>
      <t>Decreto nº 11.519, de 15/07/2024</t>
    </r>
    <r>
      <rPr>
        <i/>
        <sz val="8"/>
        <color rgb="FF222222"/>
        <rFont val="&quot;Work Sans&quot;, sans-serif"/>
      </rPr>
      <t>Publicado no DOE de 16/07/2024</t>
    </r>
  </si>
  <si>
    <t>Proíbe a utilização de animais para desenvolvimento, experimentos e testes de produtos cosméticos, higiene pessoal, perfumes, limpeza e seus componentes, no âmbito do Estado do Acre, sem prejuízo de proibições e sanções previstas em outros dispositivos legais.</t>
  </si>
  <si>
    <r>
      <rPr>
        <i/>
        <u/>
        <sz val="8"/>
        <color rgb="FF1155CC"/>
        <rFont val="&quot;Work Sans&quot;, sans-serif"/>
      </rPr>
      <t>Lei nº 3.780, de 20/09/2021</t>
    </r>
    <r>
      <rPr>
        <i/>
        <sz val="8"/>
        <color rgb="FF222222"/>
        <rFont val="&quot;Work Sans&quot;, sans-serif"/>
      </rPr>
      <t>Publicada no DOE de 23/09/2021</t>
    </r>
  </si>
  <si>
    <t>Altera o Decreto nº 11.492, de 10 de junho de 2024, que dispõe sobre a situação de emergência ambiental em decorrência da redução dos índices de chuvas e dos cursos hídricos, para tratar das ações voltadas ao enfrentamento da emergência.</t>
  </si>
  <si>
    <r>
      <rPr>
        <i/>
        <u/>
        <sz val="8"/>
        <color rgb="FF1155CC"/>
        <rFont val="&quot;Work Sans&quot;, sans-serif"/>
      </rPr>
      <t>Decreto nº 11.504, de 25/06/2024</t>
    </r>
    <r>
      <rPr>
        <i/>
        <sz val="8"/>
        <color rgb="FF222222"/>
        <rFont val="&quot;Work Sans&quot;, sans-serif"/>
      </rPr>
      <t>Publicado no DOE de 26/06/2024</t>
    </r>
  </si>
  <si>
    <t>Acrescenta dispositivo à Lei nº 1.117, de 26 de janeiro de 1994, que dispõe sobre a política ambiental do Estado.</t>
  </si>
  <si>
    <r>
      <rPr>
        <i/>
        <u/>
        <sz val="8"/>
        <color rgb="FF1155CC"/>
        <rFont val="&quot;Work Sans&quot;, sans-serif"/>
      </rPr>
      <t>Lei nº 3.731, de 20/04/2021</t>
    </r>
    <r>
      <rPr>
        <i/>
        <sz val="8"/>
        <color rgb="FF222222"/>
        <rFont val="&quot;Work Sans&quot;, sans-serif"/>
      </rPr>
      <t>Publicada no DOE de 27/04/2021</t>
    </r>
  </si>
  <si>
    <t>Biodiversidade/bioeconomia</t>
  </si>
  <si>
    <t>Ecológico</t>
  </si>
  <si>
    <t>Dispõe sobre o Gabinete de Crise temporário para tratar da redução dos índices de chuvas e dos cursos hídricos e do risco de incêndios florestais.</t>
  </si>
  <si>
    <r>
      <rPr>
        <i/>
        <u/>
        <sz val="8"/>
        <color rgb="FF1155CC"/>
        <rFont val="&quot;Work Sans&quot;, sans-serif"/>
      </rPr>
      <t>Decreto nº 11.492, de 10/06/2024</t>
    </r>
    <r>
      <rPr>
        <i/>
        <sz val="8"/>
        <color rgb="FF222222"/>
        <rFont val="&quot;Work Sans&quot;, sans-serif"/>
      </rPr>
      <t>Publicado no DOE de 11/06/2024</t>
    </r>
  </si>
  <si>
    <t>Dispõe sobre a inspeção sanitária e industrial dos produtos de origem animal, e regulamenta o Serviço de Inspeção Estadual - SIE.</t>
  </si>
  <si>
    <r>
      <rPr>
        <i/>
        <u/>
        <sz val="8"/>
        <color rgb="FF1155CC"/>
        <rFont val="&quot;Work Sans&quot;, sans-serif"/>
      </rPr>
      <t>Lei nº 3.725, de 13/04/2021</t>
    </r>
    <r>
      <rPr>
        <i/>
        <sz val="8"/>
        <color rgb="FF222222"/>
        <rFont val="&quot;Work Sans&quot;, sans-serif"/>
      </rPr>
      <t>Publicada no DOE de 15/04/2021</t>
    </r>
  </si>
  <si>
    <t>Lei nº 4.627, de 31/07/2025Publicada no DOE de 01/08/2025</t>
  </si>
  <si>
    <t>Dispõe sobre a situação de emergência ambiental em decorrência da redução dos índices de chuvas e dos cursos hídricos, prejuízos sociais e econômicos, e riscos de incêndios florestais nos Municípios do Estado do Acre.</t>
  </si>
  <si>
    <r>
      <rPr>
        <i/>
        <u/>
        <sz val="8"/>
        <color rgb="FF1155CC"/>
        <rFont val="&quot;Work Sans&quot;, sans-serif"/>
      </rPr>
      <t>Decreto nº 11.468, de 02/05/2024</t>
    </r>
    <r>
      <rPr>
        <i/>
        <sz val="8"/>
        <color rgb="FF222222"/>
        <rFont val="&quot;Work Sans&quot;, sans-serif"/>
      </rPr>
      <t>Publicado no DOE de 03/05/2024</t>
    </r>
  </si>
  <si>
    <t>Dispõe sobre o processamento de produtos de origem vegetal.</t>
  </si>
  <si>
    <r>
      <rPr>
        <i/>
        <u/>
        <sz val="8"/>
        <color rgb="FF1155CC"/>
        <rFont val="&quot;Work Sans&quot;, sans-serif"/>
      </rPr>
      <t>Lei nº 3.641, de 21/07/2020</t>
    </r>
    <r>
      <rPr>
        <i/>
        <sz val="8"/>
        <color rgb="FF222222"/>
        <rFont val="&quot;Work Sans&quot;, sans-serif"/>
      </rPr>
      <t>Publicada no DOE de 22/07/2020</t>
    </r>
  </si>
  <si>
    <t>Dispõe sobre as diretrizes orçamentárias do Estado do Acre para o exercício financeiro de 2026.</t>
  </si>
  <si>
    <t>Art. 2º As prioridades da Administração Pública estadual para o exercício de 2026, atendidas as despesas que constituem obrigações constitucionais e as despesas com funcionamento dos órgãos e entidades que integram os orçamentos fiscal e seguridade social, serão as ações da Lei nº 4.282, de 27 de dezembro de 2023, que dispõe sobre o Plano Plurianual - PPA do Estado do Acre para o quadriênio 2024-2027, de acordo com as seguintes principais áreas estratégicas:
II - produção, meio ambiente e povos indígenas;
Art. 10. A lei orçamentária anual para o exercício financeiro de 2026 deverá conter dispositivos para adaptação de receitas e despesas e dos limites de execução orçamentária e financeira aos efeitos econômicos de:
Parágrafo único. Os dispositivos de que trata o caput deverão prever critérios que assegurem prioridade na alocação, execução e preservação dos recursos destinados aos programas orçamentários vinculados aos orçamentos temáticos previstos na Lei nº 3.762, de 19 de julho de 2021, que dispõe sobre o Orçamento Criança e Adolescente - OCAD, e na Lei nº 4.168 de 6 de setembro de 2023, que dispõe sobre o Orçamento Sensível ao Gênero - OSG e dos programas orçamentários destinados à adaptação e mitigação das mudanças climáticas.
Art. 13. A estrutura e organização do projeto de lei orçamentária anual para o exercício financeiro de 2026 observarão estritamente o disposto nos arts.150 e 153 a 159 da Constituição do Estado do Acre; no art. 22 da Lei Federal nº 4.320, de 1964; na Lei Complementar Federal nº 101, de 2000; e no ato do governo federal que atualiza a discriminação da despesa por funções.
§ 3º O enfrentamento às mudanças climáticas deverá ser considerado diretriz transversal no planejamento orçamentário estadual, devendo ser integrado às políticas públicas setoriais.
Art. 58. Na elaboração do projeto de lei orçamentária anual para o exercício financeiro de 2026, e quando de sua execução, deverão ser observadas as políticas públicas especificas, de acordo com a territorialidade definida no Zoneamento Ecológico e Econômico do Acre - ZEE.
Anexos:
1446 - Desenvolvimento da Produção Familiar, Bioeconomia e Agronegócio.
 1460 - Ecossistema de Inovação Ambiental e Adaptação Climática</t>
  </si>
  <si>
    <t>Dispõe sobre a instituição do Sistema de Gestão e Coordenação - SGC, do Comitê Gestor do Projeto - CGP e do Grupo Operacional Transitório - GOT, que fazem parte do Projeto “Rumo ao Desmatamento Ilegal Zero no Estado do Acre” no âmbito do Fundo Amazônia, administrado pelo Banco Nacional de Desenvolvimento Econômico e Social - BNDES.</t>
  </si>
  <si>
    <t>Dispõe sobre a concessão de isenção do ICMS nas operações que envolvam os equipamentos e acessórios destinados para a geração de energia fotovoltaica conforme especificado no Convênio ICMS 101/97, de 12 de dezembro de 1997, do Conselho Nacional de Política Fazendária - CONFAZ.</t>
  </si>
  <si>
    <r>
      <rPr>
        <i/>
        <u/>
        <sz val="8"/>
        <color rgb="FF1155CC"/>
        <rFont val="&quot;Work Sans&quot;, sans-serif"/>
      </rPr>
      <t>Decreto nº 11.465, de 30/04/2024</t>
    </r>
    <r>
      <rPr>
        <i/>
        <sz val="8"/>
        <color rgb="FF222222"/>
        <rFont val="&quot;Work Sans&quot;, sans-serif"/>
      </rPr>
      <t>Publicado no DOE de 02/05/2024</t>
    </r>
  </si>
  <si>
    <r>
      <rPr>
        <i/>
        <u/>
        <sz val="8"/>
        <color rgb="FF1155CC"/>
        <rFont val="&quot;Work Sans&quot;, sans-serif"/>
      </rPr>
      <t>Lei nº 3.513, de 13/08/2019</t>
    </r>
    <r>
      <rPr>
        <i/>
        <sz val="8"/>
        <color rgb="FF222222"/>
        <rFont val="&quot;Work Sans&quot;, sans-serif"/>
      </rPr>
      <t>Publicada no DOE de 15/08/2019</t>
    </r>
  </si>
  <si>
    <t>Lei nº 4.380, de 30/07/2024Publicada no DOE de 01/08/2024</t>
  </si>
  <si>
    <t>Altera o Decreto nº 11.306, de 17 de agosto de 2023, que dispõe sobre normas sanitárias para a inspeção, fiscalização e diretrizes relacionadas à produção e comercialização de produtos e subprodutos de origem animal, elaborados de forma artesanal, provenientes de produtores rurais, cooperativas e estabelecimentos agroindustriais de pequeno porte, dentro do âmbito do Estado do Acre, e cria o Selo D’Colônia.</t>
  </si>
  <si>
    <t>Dispõe sobre a implementação do Programa Estadual de Qualidade do Açaí e cria o Selo de Qualidade para os estabelecimentos que produzam bebidas e alimentos de consumo humano de origem vegetal no Estado</t>
  </si>
  <si>
    <r>
      <rPr>
        <i/>
        <u/>
        <sz val="8"/>
        <color rgb="FF1155CC"/>
        <rFont val="&quot;Work Sans&quot;, sans-serif"/>
      </rPr>
      <t>Decreto nº 11.397, de 05/01/2024</t>
    </r>
    <r>
      <rPr>
        <i/>
        <sz val="8"/>
        <color rgb="FF222222"/>
        <rFont val="&quot;Work Sans&quot;, sans-serif"/>
      </rPr>
      <t>Publicado no DOE de 08/01/2024</t>
    </r>
  </si>
  <si>
    <r>
      <rPr>
        <i/>
        <u/>
        <sz val="8"/>
        <color rgb="FF1155CC"/>
        <rFont val="&quot;Work Sans&quot;, sans-serif"/>
      </rPr>
      <t>Lei nº 3.478, de 24/05/2019</t>
    </r>
    <r>
      <rPr>
        <i/>
        <sz val="8"/>
        <color rgb="FF222222"/>
        <rFont val="&quot;Work Sans&quot;, sans-serif"/>
      </rPr>
      <t>Publicada no DOE de 27/05/2019</t>
    </r>
  </si>
  <si>
    <t>Dispõe sobre as diretrizes orçamentárias do Estado do Acre para o exercício financeiro de 2025.</t>
  </si>
  <si>
    <t>Art. 2º As prioridades da administração pública estadual para o exercício de 2024, atendidas as despesas que constituem obrigações constitucionais e as despesas com funcionamento dos órgãos que integram os orçamentos fiscal e seguridade social, serão as ações do Plano Plurianual - PPA 2024/2027, estabelecidas de acordo com as principais áreas estratégicas:
II - produção, meio ambiente e povos indígenas;
Art. 10. lei orçamentária anual para o exercício financeiro de 2025 conterá dispositivos para adaptação de receitas e despesas e dos limites de execução orçamentária e financeira aos efeitos econômicos de: 
Parágrafo único. Os dispositivos de que trata o caput deverão prever critérios especiais restringindo a possibilidade de limitação dos programas orçamentários vinculados aos orçamentos temáticos previstos na Lei nº 3.762, de 19 de julho de 2021, que dispõe sobre o Orçamento Criança e Adolescente - OCAD, e na Lei nº 4.168 de 6 de setembro de 2023, que dispõe sobre o Orçamento Sensível ao Gênero - OSG.
Art. 51. Na elaboração no projeto de lei orçamentária anual para o exercício financeiro de 2025, e quando de sua execução, deverão ser observadas as políticas públicas especificas, de acordo com a territorialidade definida no Zoneamento Ecológico e Econômico do Acre - ZEE.
Anexos:
1436 - PROGRAMA - POVOS INDÍGENAS EM AÇÃO PELO CLIMA: PRESERVANDO CULTURAS, SALVAGUARDANDO O FUTURO
1446 - Programa Desenvolvimento da Produção Familiar, Bioeconomia e Agronegocio
1460 - Ecossistema de Inovação Ambiental e Adaptação Climática
1464 - DESENVOLVIMENTO REGIONAL SUSTENTÁVEL</t>
  </si>
  <si>
    <t>Dispõe sobre a isenção do Imposto sobre Circulação de Mercadoria e Serviços - ICMS nas operações com produtos típicos de artesanato.</t>
  </si>
  <si>
    <t>Altera o Decreto nº 8.102, de 25 de julho de 2014, que aprova o Regimento Interno da Ouvidoria do Sistema Estadual de Incentivos a Serviços Ambientais - SISA.</t>
  </si>
  <si>
    <r>
      <rPr>
        <i/>
        <u/>
        <sz val="8"/>
        <color rgb="FF1155CC"/>
        <rFont val="&quot;Work Sans&quot;, sans-serif"/>
      </rPr>
      <t>Lei nº 3.467, de 27/12/2018</t>
    </r>
    <r>
      <rPr>
        <i/>
        <sz val="8"/>
        <color rgb="FF222222"/>
        <rFont val="&quot;Work Sans&quot;, sans-serif"/>
      </rPr>
      <t>Publicada no DOE de 28/12/2018</t>
    </r>
  </si>
  <si>
    <r>
      <rPr>
        <i/>
        <u/>
        <sz val="8"/>
        <color rgb="FF1155CC"/>
        <rFont val="&quot;Work Sans&quot;, sans-serif"/>
      </rPr>
      <t>Decreto nº 11.374, de 28/11/2023</t>
    </r>
    <r>
      <rPr>
        <i/>
        <sz val="8"/>
        <color rgb="FF222222"/>
        <rFont val="&quot;Work Sans&quot;, sans-serif"/>
      </rPr>
      <t>Publicado no DOE de 30/11/2023</t>
    </r>
  </si>
  <si>
    <t>Lei nº 4.144, de 09/08/2023Publicada no DOE de 11/08/2023</t>
  </si>
  <si>
    <t>Dispõe sobre a regulamentação das escolas e professores indígenas instituídos e mantidos pelo Poder Público.</t>
  </si>
  <si>
    <r>
      <rPr>
        <i/>
        <u/>
        <sz val="8"/>
        <color rgb="FF1155CC"/>
        <rFont val="&quot;Work Sans&quot;, sans-serif"/>
      </rPr>
      <t>Lei nº 3.466, de 26/12/2018</t>
    </r>
    <r>
      <rPr>
        <i/>
        <sz val="8"/>
        <color rgb="FF222222"/>
        <rFont val="&quot;Work Sans&quot;, sans-serif"/>
      </rPr>
      <t>Publicada no DOE de 26/12/2018</t>
    </r>
  </si>
  <si>
    <t>Dispõe sobre a Rede de Governança Ambiental do Acre e dá outras providências.</t>
  </si>
  <si>
    <t>Nome</t>
  </si>
  <si>
    <r>
      <rPr>
        <i/>
        <u/>
        <sz val="8"/>
        <color rgb="FF1155CC"/>
        <rFont val="&quot;Work Sans&quot;, sans-serif"/>
      </rPr>
      <t>Decreto nº 11.372, de 28/11/2023</t>
    </r>
    <r>
      <rPr>
        <i/>
        <sz val="8"/>
        <color rgb="FF222222"/>
        <rFont val="&quot;Work Sans&quot;, sans-serif"/>
      </rPr>
      <t>Publicado no DOE de 30/11/2023</t>
    </r>
  </si>
  <si>
    <t>RP</t>
  </si>
  <si>
    <t>Dispõe sobre as diretrizes orçamentárias para o exercício financeiro de 2024.</t>
  </si>
  <si>
    <t>OUTRAS FONTES</t>
  </si>
  <si>
    <t>Dispõe sobre a Gestão Democrática Intercultural no âmbito da Educação Escolar Indígena.</t>
  </si>
  <si>
    <t>TOTAL LOA</t>
  </si>
  <si>
    <t>Art. 2º As prioridades da administração pública estadual para o exercício de 2024, atendidas as despesas que constituem obrigações constitucionais e as despesas com funcionamento dos órgãos que integram os orçamentos fiscal e seguridade social, serão as ações do Plano Plurianual - PPA 2024/2027, estabelecidas de acordo com as principais áreas estratégicas:
II - produção, meio ambiente e povos indígenas;
Art. 50. Na elaboração do PLOA e quando de sua execução, deverão ser observadas as políticas públicas especificas, de acordo com a territorialidade definida no Zoneamento Ecológico-Econômico do Acre - ZEE.</t>
  </si>
  <si>
    <r>
      <rPr>
        <i/>
        <u/>
        <sz val="8"/>
        <color rgb="FF1155CC"/>
        <rFont val="&quot;Work Sans&quot;, sans-serif"/>
      </rPr>
      <t>Lei nº 3.461, de 26/12/2018</t>
    </r>
    <r>
      <rPr>
        <i/>
        <sz val="8"/>
        <color rgb="FF222222"/>
        <rFont val="&quot;Work Sans&quot;, sans-serif"/>
      </rPr>
      <t>Publicada no DOE de 26/12/2018</t>
    </r>
  </si>
  <si>
    <t>Dispõe sobre o Plano Estadual de Prevenção e Controle de Desmatamento e Queimadas no Acre - PPCDQ-AC no período de 2023-2027.</t>
  </si>
  <si>
    <r>
      <rPr>
        <i/>
        <u/>
        <sz val="8"/>
        <color rgb="FF1155CC"/>
        <rFont val="&quot;Work Sans&quot;, sans-serif"/>
      </rPr>
      <t>Decreto nº 11.367, de 23/11/2023</t>
    </r>
    <r>
      <rPr>
        <i/>
        <sz val="8"/>
        <color rgb="FF222222"/>
        <rFont val="&quot;Work Sans&quot;, sans-serif"/>
      </rPr>
      <t>Publicado no DOE de 27/11/2023</t>
    </r>
  </si>
  <si>
    <t>Lei nº 3.975, de 01/08/2022Publicada no DOE de 03/08/2022</t>
  </si>
  <si>
    <t>Lei nº 4.753, de 31/12/2025Publicada no DOE de 12/01/2026</t>
  </si>
  <si>
    <t>Dispõe sobre o serviço voluntário em Unidades de Conservação Estadual e em áreas com potencial para proteção da biodiversidade.</t>
  </si>
  <si>
    <r>
      <rPr>
        <i/>
        <u/>
        <sz val="8"/>
        <color rgb="FF1155CC"/>
        <rFont val="&quot;Work Sans&quot;, sans-serif"/>
      </rPr>
      <t>Lei nº 3.379, de 16/04/2018</t>
    </r>
    <r>
      <rPr>
        <i/>
        <sz val="8"/>
        <color rgb="FF222222"/>
        <rFont val="&quot;Work Sans&quot;, sans-serif"/>
      </rPr>
      <t>Publicada no DOE de 17/05/2018</t>
    </r>
  </si>
  <si>
    <t>Estabelece a estrutura organizacional básica do Instituto de Meio Ambiente do Acre - IMAC e revoga o Decreto nº 5.625, de 27 de março de 2020.</t>
  </si>
  <si>
    <t>Dispõe sobre as diretrizes orçamentárias para o exercício financeiro de 2023 e dá outras providências.</t>
  </si>
  <si>
    <r>
      <rPr>
        <i/>
        <u/>
        <sz val="8"/>
        <color rgb="FF1155CC"/>
        <rFont val="&quot;Work Sans&quot;, sans-serif"/>
      </rPr>
      <t>Decreto nº 11.325, de 06/09/2023</t>
    </r>
    <r>
      <rPr>
        <i/>
        <sz val="8"/>
        <color rgb="FF222222"/>
        <rFont val="&quot;Work Sans&quot;, sans-serif"/>
      </rPr>
      <t>Publicado no DOE de 13/09/2023</t>
    </r>
  </si>
  <si>
    <t>Estima a receita e fixa a despesa do Estado para o exercício financeiro de 2026 e dá outras providências.</t>
  </si>
  <si>
    <t xml:space="preserve">Art. 2º As prioridades da administração pública estadual para o exercício de 2023, atendidas as despesas que constituem
obrigações constitucionais e as despesas com funcionamento dos órgãos que integram os orçamentos fiscal e seguridade social,
serão as ações do Plano Plurianual - PPA de 2020-2023, estabelecidas de acordo com as principais áreas estratégicas:
VII - meio ambiente e produção florestal;
Art. 51. Na elaboração do PLOA e quando de sua execução, deverão ser observadas, as políticas públicas especificas, de acordo com a territorialidade definida no Zoneamento Ecológico e Econômico do Acre - ZEE;
Anexo: 
1416 - Valorização dos Povos IndÍgenas
1403 - PROGRAMA DESENVOLVIMENTO DA ECONOMIA E AGRONEGÓCIO 
</t>
  </si>
  <si>
    <t>Altera a Lei nº 725, de 13 de dezembro de 1980, que Institui o Fundo Agropecuário Estadual – FUNAGRO.</t>
  </si>
  <si>
    <r>
      <rPr>
        <i/>
        <u/>
        <sz val="8"/>
        <color rgb="FF1155CC"/>
        <rFont val="&quot;Work Sans&quot;, sans-serif"/>
      </rPr>
      <t>Lei nº 3.357, de 18/12/2017</t>
    </r>
    <r>
      <rPr>
        <i/>
        <sz val="8"/>
        <color rgb="FF222222"/>
        <rFont val="&quot;Work Sans&quot;, sans-serif"/>
      </rPr>
      <t>Publicada no DOE de 19/12/2017</t>
    </r>
  </si>
  <si>
    <t>SECRETARIA DE ESTADO DO MEIO AMBIEN TE SEMA</t>
  </si>
  <si>
    <t>Estabelece a estrutura organizacional básica do Instituto de Defesa Agropecuária e Florestal do Estado do Acre - IDAF/AC e revoga o Decreto nº 6.370, de 13 de julho de 2020.</t>
  </si>
  <si>
    <r>
      <rPr>
        <i/>
        <u/>
        <sz val="8"/>
        <color rgb="FF1155CC"/>
        <rFont val="&quot;Work Sans&quot;, sans-serif"/>
      </rPr>
      <t>Decreto nº 11.324, de 06/09/2023</t>
    </r>
    <r>
      <rPr>
        <i/>
        <sz val="8"/>
        <color rgb="FF222222"/>
        <rFont val="&quot;Work Sans&quot;, sans-serif"/>
      </rPr>
      <t>Publicado no DOE de 13/09/2023</t>
    </r>
  </si>
  <si>
    <t>Institui o Programa de Bolsas de Apoio à Formação Profissional do Agente Agroflorestal Indígena - AAFI.</t>
  </si>
  <si>
    <t>Lei nº 3.763, de 19/07/2021Publicada no DOE de 20/07/2021</t>
  </si>
  <si>
    <r>
      <rPr>
        <i/>
        <u/>
        <sz val="8"/>
        <color rgb="FF1155CC"/>
        <rFont val="&quot;Work Sans&quot;, sans-serif"/>
      </rPr>
      <t>Lei nº 3.256, de 09/06/2017</t>
    </r>
    <r>
      <rPr>
        <i/>
        <sz val="8"/>
        <color rgb="FF222222"/>
        <rFont val="&quot;Work Sans&quot;, sans-serif"/>
      </rPr>
      <t>Publicada no DOE de 12/06/2017</t>
    </r>
  </si>
  <si>
    <t>Estabelece a estrutura organizacional básica do Instituto de Mudanças Climáticas e Regulação de Serviços Ambientais - IMC e revoga o Decreto nº 8.110, de 25 de fevereiro de 2021.</t>
  </si>
  <si>
    <r>
      <rPr>
        <i/>
        <u/>
        <sz val="8"/>
        <color rgb="FF1155CC"/>
        <rFont val="&quot;Work Sans&quot;, sans-serif"/>
      </rPr>
      <t>Decreto nº 11.308, de 21/08/2023</t>
    </r>
    <r>
      <rPr>
        <i/>
        <sz val="8"/>
        <color rgb="FF222222"/>
        <rFont val="&quot;Work Sans&quot;, sans-serif"/>
      </rPr>
      <t>Publicado no DOE de 23/08/2023</t>
    </r>
  </si>
  <si>
    <t>Dispõe sobre as diretrizes orçamentárias para o exercício financeiro de 2022.</t>
  </si>
  <si>
    <t>Institui a Semana dos Povos Indígenas.</t>
  </si>
  <si>
    <t>Art. 2º As prioridades da administração pública estadual para o exercício de 2023, atendidas as despesas que constituem
obrigações constitucionais e as despesas com funcionamento dos órgãos que integram os orçamentos fiscal e seguridade social,
serão as ações do Plano Plurianual - PPA de 2020-2023, estabelecidas de acordo com as principais áreas estratégicas:
VII - meio ambiente e produção florestal;
Art. 48. Na elaboração do PLOA e quando de sua execução, deverão ser observadas, as políticas públicas especificas, de acordo com a territorialidade definida no Zoneamento Ecológico e Econômico do Acre – ZEE.</t>
  </si>
  <si>
    <r>
      <rPr>
        <i/>
        <u/>
        <sz val="8"/>
        <color rgb="FF1155CC"/>
        <rFont val="&quot;Work Sans&quot;, sans-serif"/>
      </rPr>
      <t>Lei nº 3.349, de 18/12/2017</t>
    </r>
    <r>
      <rPr>
        <i/>
        <sz val="8"/>
        <color rgb="FF222222"/>
        <rFont val="&quot;Work Sans&quot;, sans-serif"/>
      </rPr>
      <t>Publicada no DOE de 19/12/2017</t>
    </r>
  </si>
  <si>
    <t>SECRETARIA EXTRAORDINÁRIA DOS POVOS INDÍGENAS - SEPI</t>
  </si>
  <si>
    <t>Altera o Decreto nº 11.217, de 31 de março de 2023, que institui o Comitê Gestor de Mudanças Climáticas do Estado do Acre, para inclusão da SEPI na composição do colegiado.</t>
  </si>
  <si>
    <r>
      <rPr>
        <i/>
        <u/>
        <sz val="8"/>
        <color rgb="FF1155CC"/>
        <rFont val="&quot;Work Sans&quot;, sans-serif"/>
      </rPr>
      <t>Decreto nº 11.306, de 17/08/2023</t>
    </r>
    <r>
      <rPr>
        <i/>
        <sz val="8"/>
        <color rgb="FF222222"/>
        <rFont val="&quot;Work Sans&quot;, sans-serif"/>
      </rPr>
      <t>Publicado no DOE de 21/08/2023</t>
    </r>
  </si>
  <si>
    <t>Institui o Programa de Regularização Ambiental das propriedades e posses rurais no âmbito do Estado do Acre - PRA-Acre.</t>
  </si>
  <si>
    <r>
      <rPr>
        <i/>
        <u/>
        <sz val="8"/>
        <color rgb="FF1155CC"/>
        <rFont val="&quot;Work Sans&quot;, sans-serif"/>
      </rPr>
      <t>Lei nº 3.264, de 17/07/2017</t>
    </r>
    <r>
      <rPr>
        <i/>
        <sz val="8"/>
        <color rgb="FF222222"/>
        <rFont val="&quot;Work Sans&quot;, sans-serif"/>
      </rPr>
      <t>Publicada no DOE de 18/07/2017</t>
    </r>
  </si>
  <si>
    <t>Lei nº 3.642, de 21/07/2020Publicada no DOE de 22/07/2020</t>
  </si>
  <si>
    <t>SECRETARIA DE ESTADO DE AGRICULTURA - SEAGRI</t>
  </si>
  <si>
    <t>Dispõe sobre normas sanitárias para a inspeção, fiscalização e diretrizes relacionadas à produção e comercialização de produtos e subprodutos de origem animal, elaborados de forma artesanal, provenientes de produtores rurais, cooperativas e estabelecimentos agroindustriais de pequeno porte, dentro do âmbito do Estado do Acre, e cria o Selo D’Colônia.</t>
  </si>
  <si>
    <t>Ratifica o Protocolo de Intenções firmado entre os Estados do Acre, Amapá, Amazonas, Maranhão, Mato Grosso, Pará, Rondônia, Roraima e Tocantins, com o objetivo de constituição de consórcio interestadual, sob a forma de autarquia, denominada Consórcio Interestadual de Desenvolvimento Sustentável da Amazônia Legal.</t>
  </si>
  <si>
    <t>INSTITUTO DE MEIO AMBIENTE DO ACRE - IMAC</t>
  </si>
  <si>
    <r>
      <rPr>
        <i/>
        <u/>
        <sz val="8"/>
        <color rgb="FF1155CC"/>
        <rFont val="&quot;Work Sans&quot;, sans-serif"/>
      </rPr>
      <t>Decreto nº 11.302, de 07/08/2023</t>
    </r>
    <r>
      <rPr>
        <i/>
        <sz val="8"/>
        <color rgb="FF222222"/>
        <rFont val="&quot;Work Sans&quot;, sans-serif"/>
      </rPr>
      <t>Publicado no DOE de 08/08/2023</t>
    </r>
  </si>
  <si>
    <r>
      <rPr>
        <i/>
        <u/>
        <sz val="8"/>
        <color rgb="FF1155CC"/>
        <rFont val="&quot;Work Sans&quot;, sans-serif"/>
      </rPr>
      <t>Lei nº 3.256, de 09/06/2017</t>
    </r>
    <r>
      <rPr>
        <i/>
        <sz val="8"/>
        <color rgb="FF222222"/>
        <rFont val="&quot;Work Sans&quot;, sans-serif"/>
      </rPr>
      <t>Publicada no DOE de 12/06/2017</t>
    </r>
  </si>
  <si>
    <t>Dispõe sobre as diretrizes orçamentárias para o exercício financeiro de 2021 e dá outras providências.</t>
  </si>
  <si>
    <t>Art. 49. Na elaboração do projeto de Lei Orçamentária Anual e quando de sua execução, deverão ser observadas, as políticas públicas especificas, de acordo com a territorialidade definida no Zoneamento Ecológico e Econômico do Acre - ZEE; 
Anexo:
1418 - PROGRAMA GESTÃO INTEGRADA DO MEIO AMBIENTE
1405 - PROGRAMA FORTALECIMENTO DA ASSISTÊNCIA TÉCNICA E EXTENSÃO RURAL</t>
  </si>
  <si>
    <r>
      <rPr>
        <i/>
        <u/>
        <sz val="8"/>
        <color rgb="FF1155CC"/>
        <rFont val="&quot;Work Sans&quot;, sans-serif"/>
      </rPr>
      <t>Lei nº 3.232, de 15/03/2017</t>
    </r>
    <r>
      <rPr>
        <i/>
        <sz val="8"/>
        <color rgb="FF222222"/>
        <rFont val="&quot;Work Sans&quot;, sans-serif"/>
      </rPr>
      <t>Publicada no DOE de 17/03/2017</t>
    </r>
  </si>
  <si>
    <t>INSTITUTO DE TERRAS DO ACRE - ITERACRE</t>
  </si>
  <si>
    <t>Estabelece a estrutura organizacional básica da Secretaria de Estado Extraordinária dos Povos Indígenas - SEPI.</t>
  </si>
  <si>
    <t>Lei nº 3.520, de 25/09/2019Publicada no DOE de 27/09/2019</t>
  </si>
  <si>
    <r>
      <rPr>
        <i/>
        <u/>
        <sz val="8"/>
        <color rgb="FF1155CC"/>
        <rFont val="&quot;Work Sans&quot;, sans-serif"/>
      </rPr>
      <t>Decreto nº 11.292, de 19/07/2023</t>
    </r>
    <r>
      <rPr>
        <i/>
        <sz val="8"/>
        <color rgb="FF222222"/>
        <rFont val="&quot;Work Sans&quot;, sans-serif"/>
      </rPr>
      <t>Publicado no DOE de 24/07/2023</t>
    </r>
  </si>
  <si>
    <t>INSTITUTO DE MUDANÇAS CLIMÁTICAS E REGULAÇÃO DOS SERVIÇOS AMBIENTAIS - IMC</t>
  </si>
  <si>
    <r>
      <rPr>
        <i/>
        <u/>
        <sz val="8"/>
        <color rgb="FF1155CC"/>
        <rFont val="&quot;Work Sans&quot;, sans-serif"/>
      </rPr>
      <t>Lei nº 3.208, de 26/12/2016</t>
    </r>
    <r>
      <rPr>
        <i/>
        <sz val="8"/>
        <color rgb="FF222222"/>
        <rFont val="&quot;Work Sans&quot;, sans-serif"/>
      </rPr>
      <t>Publicada no DOE de 29/12/2016</t>
    </r>
  </si>
  <si>
    <t>FUNDAÇÃO DE TECNOLOGIA DO ESTADO DO ACRE - FUNTAC</t>
  </si>
  <si>
    <t>Dispõe sobre medidas transitórias para a instalação da Secretaria Extraordinária dos Povos Indígenas - SEPI.</t>
  </si>
  <si>
    <t>Dispõe sobre as diretrizes orçamentárias para o exercício financeiro de 2020 e dá outras providências.</t>
  </si>
  <si>
    <t>Art. 2º O anexo de metas e prioridades da administração pública estadual para o exercício de 2020, atendidas as despesas que constituem obrigação constitucional ou legal do Estado e as de funcionamento dos órgãos e entidades que integram os orçamentos fiscais e da seguridade social, serão estabelecidas de acordo com as principais áreas estratégicas:
VII - meio ambiente e produção florestal;
Art. 42. Na elaboração do projeto de lei orçamentária anual e quando de sua execução, deverão ser observadas as políticas públicas especificas, de acordo com a territorialidade definida no Zoneamento Ecológico e Econômico do Acre – ZEE.</t>
  </si>
  <si>
    <t>Autoriza o Poder Executivo a ceder à Universidade Federal do Acre - UFAC um imóvel público estadual localizado no Município de Cruzeiro do Sul/AC, para fins de implantação de uma unidade experimental agrícola para pesquisa, ensino e extensão frente ao processo de formação e treinamento de profissionais nas áreas de engenharia florestal, agronomia e ciências biológicas da UFAC/Campus Floresta.</t>
  </si>
  <si>
    <t>FUNDAÇÃO DE APOIO AO DESENVOLVIMENTO ECONÔMICO E SOCIAL DO ACRE - FADES</t>
  </si>
  <si>
    <r>
      <rPr>
        <i/>
        <u/>
        <sz val="8"/>
        <color rgb="FF1155CC"/>
        <rFont val="&quot;Work Sans&quot;, sans-serif"/>
      </rPr>
      <t>Lei nº 3.207, de 26/12/2016</t>
    </r>
    <r>
      <rPr>
        <i/>
        <sz val="8"/>
        <color rgb="FF222222"/>
        <rFont val="&quot;Work Sans&quot;, sans-serif"/>
      </rPr>
      <t>Publicada no DOE de 29/12/2016</t>
    </r>
  </si>
  <si>
    <t>Lei nº 3.393, de 13/07/2018Publicada no DOE de 01/08/2018</t>
  </si>
  <si>
    <t>COMPANHIA DE ARMAZÉNS E ENTREPOSTOS DO ACRE - CAGEACRE</t>
  </si>
  <si>
    <t>Altera a Lei n. 1.693, de 21 de dezembro de 2005, que "Cria os Programas de Pólos Agroflorestais e Quintais Agroflorestais - PQA e autoriza o Poder Executivo a outorgar, sob condição resolutiva, concessão de direito real de uso de terras públicas rurais localizadas nos pólos agroflorestais, para implementação da Política de Desenvolvimento Sustentável do Estado”.</t>
  </si>
  <si>
    <r>
      <rPr>
        <i/>
        <u/>
        <sz val="8"/>
        <color rgb="FF1155CC"/>
        <rFont val="&quot;Work Sans&quot;, sans-serif"/>
      </rPr>
      <t>Lei nº 3.167, de 21/09/2016</t>
    </r>
    <r>
      <rPr>
        <i/>
        <sz val="8"/>
        <color rgb="FF222222"/>
        <rFont val="&quot;Work Sans&quot;, sans-serif"/>
      </rPr>
      <t>Publicada no DOE de 22/09/2016</t>
    </r>
  </si>
  <si>
    <t>EMPRESA DE ASSISTÊNCIA TÉCNICA E EXTENSÃO RURAL DO ACRE - EMATER/AC</t>
  </si>
  <si>
    <t>Dispõe sobre as diretrizes orçamentárias para o exercício financeiro de 2019 e dá outras providências.</t>
  </si>
  <si>
    <t>Art. 2º O Anexo de Metas e Prioridades da administração pública estadual para o exercício de 2018, atendidas as despesas que constituem obrigação constitucional ou legal do Estado e as de funcionamento dos órgãos e entidades que integram os orçamentos fiscais e da seguridade social, correspondem as seguintes ações:
III – saúde e saneamento ambiental;
Art. 42. Na elaboração do projeto de Lei Orçamentária Anual e quando de sua execução, deverão ser observadas, as políticas públicas especificas, de acordo com: 
I – a territorialidade definida no Zoneamento Ecológico e Econômico do Acre – ZEE; </t>
  </si>
  <si>
    <r>
      <rPr>
        <i/>
        <u/>
        <sz val="8"/>
        <color rgb="FF1155CC"/>
        <rFont val="&quot;Work Sans&quot;, sans-serif"/>
      </rPr>
      <t>Decreto nº 11.275, de 07/07/2023</t>
    </r>
    <r>
      <rPr>
        <i/>
        <sz val="8"/>
        <color rgb="FF222222"/>
        <rFont val="&quot;Work Sans&quot;, sans-serif"/>
      </rPr>
      <t>Publicado no DOE de 07/07/2023</t>
    </r>
  </si>
  <si>
    <t>COMPANHIA DE DESENVOLVIMENTO E SERVIÇOS AMBIENTAIS DO ESTADO DO ACRE - CDSA</t>
  </si>
  <si>
    <t>Altera dispositivos da Lei n. 725, de 13 de dezembro de 1980, que “Institui o Fundo Agropecuário Estadual – FUNAGRO, e dá outras providências.</t>
  </si>
  <si>
    <r>
      <rPr>
        <i/>
        <u/>
        <sz val="8"/>
        <color rgb="FF1155CC"/>
        <rFont val="&quot;Work Sans&quot;, sans-serif"/>
      </rPr>
      <t>Lei nº 3.161, de 09/08/2016</t>
    </r>
    <r>
      <rPr>
        <i/>
        <sz val="8"/>
        <color rgb="FF222222"/>
        <rFont val="&quot;Work Sans&quot;, sans-serif"/>
      </rPr>
      <t>Publicada no DOE de 18/08/2016</t>
    </r>
  </si>
  <si>
    <t>Lei nº 3.276, de 20/07/2017Publicada no DOE de 20/07/2017</t>
  </si>
  <si>
    <t>Dispõe sobre a instalação, em caráter especial, da Secretaria Extraordinária dos Povos Indígenas - SEPI.</t>
  </si>
  <si>
    <t>FUNDO ESTADUAL DE COMANDO E CONTROLE AMBIENTAL</t>
  </si>
  <si>
    <r>
      <rPr>
        <i/>
        <u/>
        <sz val="8"/>
        <color rgb="FF1155CC"/>
        <rFont val="&quot;Work Sans&quot;, sans-serif"/>
      </rPr>
      <t>Decreto nº 11.271, de 04/07/2023</t>
    </r>
    <r>
      <rPr>
        <i/>
        <sz val="8"/>
        <color rgb="FF222222"/>
        <rFont val="&quot;Work Sans&quot;, sans-serif"/>
      </rPr>
      <t>Publicado no DOE de 05/07/2023</t>
    </r>
  </si>
  <si>
    <t>Dispõe sobre a criação do sistema de inscrição, cobrança e parcelamento dos créditos de natureza não tributária, inscritos na Dívida Ativa, decorrentes de multa por infração ambiental, alterando Lei n. 1.117, de 26 de janeiro de 1994 e dá outras providências.</t>
  </si>
  <si>
    <r>
      <rPr>
        <i/>
        <u/>
        <sz val="8"/>
        <color rgb="FF1155CC"/>
        <rFont val="&quot;Work Sans&quot;, sans-serif"/>
      </rPr>
      <t>Lei nº 3.151, de 27/07/2016</t>
    </r>
    <r>
      <rPr>
        <i/>
        <sz val="8"/>
        <color rgb="FF222222"/>
        <rFont val="&quot;Work Sans&quot;, sans-serif"/>
      </rPr>
      <t>Publicada no DOE de 28/07/2016</t>
    </r>
  </si>
  <si>
    <t>FUNDO AGROPECUÁRIO - FUNAGRO</t>
  </si>
  <si>
    <t>Dispõe sobre as diretrizes orçamentárias para o exercício financeiro de 2018, e dá outras providências.</t>
  </si>
  <si>
    <t>Art. 2º O Anexo de Metas e Prioridades da administração pública estadual para o exercício de 2018, atendidas as despesas que constituem obrigação constitucional ou legal do Estado e as de funcionamento dos órgãos e entidades que integram os orçamentos fiscais e da seguridade social, correspondem as seguintes ações:
III – saúde e saneamento ambiental;
Art. 42. Na elaboração do projeto de lei orçamentária anual e quando de sua execução, deverão ser observadas, as políticas públicas especificas, de acordo com: 
I – a territorialidade definida no Zoneamento Ecológico e Econômico do Acre – ZEE; </t>
  </si>
  <si>
    <t>Declara situação de emergência ambiental em decorrência do desmatamento ilegal, queimadas, incêndios florestais e degradação florestal nos municípios de Acrelândia, Brasiléia, Bujari, Cruzeiro do Sul, Feijó, Manoel Urbano, Sena Madureira, Tarauacá, Rio Branco e Xapuri.</t>
  </si>
  <si>
    <t>FUNDO DE DESENVOLVIMENTO SUSTENTÁVEL - FDS</t>
  </si>
  <si>
    <r>
      <rPr>
        <i/>
        <u/>
        <sz val="8"/>
        <color rgb="FF1155CC"/>
        <rFont val="&quot;Work Sans&quot;, sans-serif"/>
      </rPr>
      <t>Decreto nº 11.260, de 13/06/2023</t>
    </r>
    <r>
      <rPr>
        <i/>
        <sz val="8"/>
        <color rgb="FF222222"/>
        <rFont val="&quot;Work Sans&quot;, sans-serif"/>
      </rPr>
      <t>Publicado no DOE de 19/06/2023</t>
    </r>
  </si>
  <si>
    <t>Altera dispositivos da Lei n. 1.117, de 26 de janeiro de 1994, que “Dispõe sobre a política ambiental do Estado do Acre, e dá outras providências".</t>
  </si>
  <si>
    <r>
      <rPr>
        <i/>
        <u/>
        <sz val="8"/>
        <color rgb="FF1155CC"/>
        <rFont val="&quot;Work Sans&quot;, sans-serif"/>
      </rPr>
      <t>Lei nº 3.150, de 27/07/2016</t>
    </r>
    <r>
      <rPr>
        <i/>
        <sz val="8"/>
        <color rgb="FF222222"/>
        <rFont val="&quot;Work Sans&quot;, sans-serif"/>
      </rPr>
      <t>Publicada no DOE de 28/07/2016</t>
    </r>
  </si>
  <si>
    <t>Lei nº 3.160, de 09/08/2016Publicada no DOE de 18/08/2016</t>
  </si>
  <si>
    <t>FUNDO ESTADUAL DE MEIO AMBIENTE E FLORESTAS</t>
  </si>
  <si>
    <t>FUNDO DE PRESERVAÇÃO E DESENVOLVIMENTO DOS POVOS INDÍGENAS DO ACRE - FPDPI/AC</t>
  </si>
  <si>
    <t>Dispõe sobre as diretrizes orçamentárias para o exercício financeiro de 2017 e dá outras providências.</t>
  </si>
  <si>
    <t>Revogada pela Lei nº 3.276 , de 20 de Julho de 2017.</t>
  </si>
  <si>
    <t>Altera dispositivos da Lei n. 725, de 13 de dezembro de 1980, que “Institui o Fundo Agropecuário Estadual – FUNAGRO".</t>
  </si>
  <si>
    <t>Lei nº 2.966, de 22/07/2015Publicada no DOE de 07/08/2015</t>
  </si>
  <si>
    <t>FUNDO ESTADUAL ESPECIAL PARA A RECUPERAÇÃO DA BACIA DO IGARAPÉ SÃO FRANCISCO</t>
  </si>
  <si>
    <r>
      <rPr>
        <i/>
        <u/>
        <sz val="8"/>
        <color rgb="FF1155CC"/>
        <rFont val="&quot;Work Sans&quot;, sans-serif"/>
      </rPr>
      <t>Lei nº 3.145, de 26/07/2016</t>
    </r>
    <r>
      <rPr>
        <i/>
        <sz val="8"/>
        <color rgb="FF222222"/>
        <rFont val="&quot;Work Sans&quot;, sans-serif"/>
      </rPr>
      <t>Publicada no DOE de 27/06/2016</t>
    </r>
  </si>
  <si>
    <t>Ratifica a alteração de nomenclatura da Secretaria de Estado de Produção e Agronegócio - SEPROD para Secretaria de Estado de Agricultura - SEAGRI.</t>
  </si>
  <si>
    <r>
      <rPr>
        <i/>
        <u/>
        <sz val="8"/>
        <color rgb="FF1155CC"/>
        <rFont val="&quot;Work Sans&quot;, sans-serif"/>
      </rPr>
      <t>Decreto nº 11.223, de 10/04/2023</t>
    </r>
    <r>
      <rPr>
        <i/>
        <sz val="8"/>
        <color rgb="FF222222"/>
        <rFont val="&quot;Work Sans&quot;, sans-serif"/>
      </rPr>
      <t>Publicado no DOE de 11/04/2023</t>
    </r>
  </si>
  <si>
    <t>Altera a Lei n. 1.693, de 21 de dezembro de 2005, que “Cria os Programas de Pólos Agroflorestais e Quintais Agroflorestais - PQA e autoriza o Poder Executivo a outorgar, sob condição resolutiva, concessão de direito real de uso de terras públicas rurais localizadas nos pólos agroflorestais, para implementação da política de desenvolvimento sustentável do Estado."</t>
  </si>
  <si>
    <t>Dispõe sobre as diretrizes orçamentárias para o exercício financeiro de 2016 e dá outras providências.</t>
  </si>
  <si>
    <t>Revogada pela Lei nº 3.160 , de 09 de Agosto de 2016.</t>
  </si>
  <si>
    <r>
      <rPr>
        <i/>
        <u/>
        <sz val="8"/>
        <color rgb="FF1155CC"/>
        <rFont val="&quot;Work Sans&quot;, sans-serif"/>
      </rPr>
      <t>Lei nº 3.135, de 01/06/2016</t>
    </r>
    <r>
      <rPr>
        <i/>
        <sz val="8"/>
        <color rgb="FF222222"/>
        <rFont val="&quot;Work Sans&quot;, sans-serif"/>
      </rPr>
      <t>Publicada no DOE de 02/06/2016</t>
    </r>
  </si>
  <si>
    <t>Lei nº 2.880, de 18/08/2014Publicada no DOE de 21/08/2014</t>
  </si>
  <si>
    <t>Lei nº 4.511, de 30/12/2024Publicada no DOE de 10/01/2025</t>
  </si>
  <si>
    <t>Dispõe sobre a instituição da Rede Estadual de Eficiência Energética - REFIE.</t>
  </si>
  <si>
    <r>
      <rPr>
        <i/>
        <u/>
        <sz val="8"/>
        <color rgb="FF1155CC"/>
        <rFont val="&quot;Work Sans&quot;, sans-serif"/>
      </rPr>
      <t>Decreto nº 11.217, de 31/03/2023</t>
    </r>
    <r>
      <rPr>
        <i/>
        <sz val="8"/>
        <color rgb="FF222222"/>
        <rFont val="&quot;Work Sans&quot;, sans-serif"/>
      </rPr>
      <t>Publicado no DOE de 03/04/2023</t>
    </r>
  </si>
  <si>
    <t>Dispõe sobre a valorização da raça negra e povos indígenas nas peças publicitárias veiculadas pela administração pública estadual.</t>
  </si>
  <si>
    <r>
      <rPr>
        <i/>
        <u/>
        <sz val="8"/>
        <color rgb="FF1155CC"/>
        <rFont val="&quot;Work Sans&quot;, sans-serif"/>
      </rPr>
      <t>Lei nº 3.133, de 01/06/2016</t>
    </r>
    <r>
      <rPr>
        <i/>
        <sz val="8"/>
        <color rgb="FF222222"/>
        <rFont val="&quot;Work Sans&quot;, sans-serif"/>
      </rPr>
      <t>Publicada no DOE de 02/06/2016</t>
    </r>
  </si>
  <si>
    <t>Dispõe sobre as diretrizes orçamentárias para o exercício financeiro de 2015 e dá outras providências.</t>
  </si>
  <si>
    <t>Reconhece o Município de Xapuri como Centro Cultural e Ecológico do Estado.</t>
  </si>
  <si>
    <t>Revogada pela Lei nº 2.880 , de 18 de Agosto de 2014.</t>
  </si>
  <si>
    <t>Estima a receita e fixa a despesa do Estado para o exercício financeiro de 2025 e dá outras providências.</t>
  </si>
  <si>
    <r>
      <rPr>
        <i/>
        <u/>
        <sz val="8"/>
        <color rgb="FF1155CC"/>
        <rFont val="&quot;Work Sans&quot;, sans-serif"/>
      </rPr>
      <t>Lei nº 3.005, de 23/11/2015</t>
    </r>
    <r>
      <rPr>
        <i/>
        <sz val="8"/>
        <color rgb="FF222222"/>
        <rFont val="&quot;Work Sans&quot;, sans-serif"/>
      </rPr>
      <t>Publicada no DOE de 24/11/2015</t>
    </r>
  </si>
  <si>
    <t>Lei nº 2.719, de 25/07/2013Publicada no DOE de 26/07/2013</t>
  </si>
  <si>
    <t>Dispõe sobre o Comitê Gestor de Mudanças Climáticas do Estado do Acre.</t>
  </si>
  <si>
    <t>Cria o Fundo Especial para o Desenvolvimento da Produção e Comercialização do Artesanato Acreano – FUNCART e dá outras providências.</t>
  </si>
  <si>
    <t>Dispõe sobre as diretrizes orçamentárias para o exercício financeiro de 2014 e dá outras providências.</t>
  </si>
  <si>
    <r>
      <rPr>
        <i/>
        <u/>
        <sz val="8"/>
        <color rgb="FF1155CC"/>
        <rFont val="&quot;Work Sans&quot;, sans-serif"/>
      </rPr>
      <t>Lei nº 2.956, de 09/04/2015</t>
    </r>
    <r>
      <rPr>
        <i/>
        <sz val="8"/>
        <color rgb="FF222222"/>
        <rFont val="&quot;Work Sans&quot;, sans-serif"/>
      </rPr>
      <t>Publicada no DOE de 10/04/2015</t>
    </r>
  </si>
  <si>
    <t>Lei nº 2.589, de 09/08/2012Publicada no DOE de 15/08/2012</t>
  </si>
  <si>
    <r>
      <rPr>
        <i/>
        <u/>
        <sz val="8"/>
        <color rgb="FF1155CC"/>
        <rFont val="&quot;Work Sans&quot;, sans-serif"/>
      </rPr>
      <t>Decreto nº 11.216, de 31/03/2023</t>
    </r>
    <r>
      <rPr>
        <i/>
        <sz val="8"/>
        <color rgb="FF222222"/>
        <rFont val="&quot;Work Sans&quot;, sans-serif"/>
      </rPr>
      <t>Publicado no DOE de 03/04/2023</t>
    </r>
  </si>
  <si>
    <t>Altera e acrescenta dispositivos à Lei n. 1.358, de 29 de dezembro de 2000 que “Institui o Programa de Incentivo Tributário para Empresas, Cooperativas e Associações de Produtores dos Setores Industrial, Agroindustrial, Florestal, Industrial Extrativo Vegetal e Indústria Turística do Estado do Acre e dá outras providências“.</t>
  </si>
  <si>
    <r>
      <rPr>
        <i/>
        <u/>
        <sz val="8"/>
        <color rgb="FF1155CC"/>
        <rFont val="&quot;Work Sans&quot;, sans-serif"/>
      </rPr>
      <t>Lei nº 2.951, de 30/12/2014</t>
    </r>
    <r>
      <rPr>
        <i/>
        <sz val="8"/>
        <color rgb="FF222222"/>
        <rFont val="&quot;Work Sans&quot;, sans-serif"/>
      </rPr>
      <t>Publicada no DOE de 31/12/2014</t>
    </r>
  </si>
  <si>
    <t>Dispõe sobre as diretrizes orçamentárias para o exercício financeiro de 2013, e dá outras providências.</t>
  </si>
  <si>
    <t>Apenas Quadro de Metas Fiscais</t>
  </si>
  <si>
    <t>Lei nº 2.424, de 08/07/2011Publicada no DOE de 11/07/2011</t>
  </si>
  <si>
    <t>Dispõe sobre a Política de Turismo Sustentável do Estado o Sistema Estadual de Turismo e dá outras providências.</t>
  </si>
  <si>
    <r>
      <rPr>
        <i/>
        <u/>
        <sz val="8"/>
        <color rgb="FF1155CC"/>
        <rFont val="&quot;Work Sans&quot;, sans-serif"/>
      </rPr>
      <t>Lei nº 2.870, de 03/03/2014</t>
    </r>
    <r>
      <rPr>
        <i/>
        <sz val="8"/>
        <color rgb="FF222222"/>
        <rFont val="&quot;Work Sans&quot;, sans-serif"/>
      </rPr>
      <t>Publicada no DOE de 07/07/2014</t>
    </r>
  </si>
  <si>
    <t>Dispõe sobre as diretrizes orçamentárias para o exercício financeiro de 2012, e dá outras providências.</t>
  </si>
  <si>
    <t>Altera o Decreto nº 10.278, de 14 de outubro de 2021, que estabelece a nova estrutura organizacional básica da Comissão Estadual de Validação e Acompanhamento - CEVA do Sistema Estadual de Incentivo a Serviços Ambientais - SISA.</t>
  </si>
  <si>
    <t>Art. 2º O Anexo de Metas e Prioridades da Administração Pública Estadual para o exercício de 2012 está em consonância com as diretrizes definidas no Plano de Governo 2011-2014. 
1º As metas e prioridades para o exercício de 2012 deverão levar em consideração as seguintes orientações:
a) economia sustentável como vetor de geração de trabalho, renda, promoção da igualdade social, fortalecimento da cultura própria e identidade e conservação do ambiente natural; 
c) educação de qualidade para a construção de uma sociedade sustentável;
II – valorização da floresta e uso agropecuário sustentável das áreas em processo de degradação;
 § 2º As ações governamentais serão organizadas em: eixos estratégicos, programas estratégicos, áreas de resultados e projetos dirigidos para:
II – valorização da floresta e uso agropecuário sustentável das áreas em processo de degradação;
Art. 42. Na elaboração do Projeto de Lei Orçamentária Anual e quando de sua execução, deverão ser observadas, as políticas públicas especificas, de acordo com:
I – a territorialidade definida no Zoneamento Ecológico e Econômico do Acre – ZEE; </t>
  </si>
  <si>
    <t>Dispõe sobre a criação e efetivação do Cartão Verde aos produtores familiares e extrativistas do Estado.</t>
  </si>
  <si>
    <r>
      <rPr>
        <i/>
        <u/>
        <sz val="8"/>
        <color rgb="FF1155CC"/>
        <rFont val="&quot;Work Sans&quot;, sans-serif"/>
      </rPr>
      <t>Lei nº 2.850, de 14/01/2014</t>
    </r>
    <r>
      <rPr>
        <i/>
        <sz val="8"/>
        <color rgb="FF222222"/>
        <rFont val="&quot;Work Sans&quot;, sans-serif"/>
      </rPr>
      <t>Publicada no DOE de 14/01/2014</t>
    </r>
  </si>
  <si>
    <r>
      <rPr>
        <i/>
        <u/>
        <sz val="8"/>
        <color rgb="FF1155CC"/>
        <rFont val="&quot;Work Sans&quot;, sans-serif"/>
      </rPr>
      <t>Decreto nº 11.179, de 30/01/2023</t>
    </r>
    <r>
      <rPr>
        <i/>
        <sz val="8"/>
        <color rgb="FF222222"/>
        <rFont val="&quot;Work Sans&quot;, sans-serif"/>
      </rPr>
      <t>Publicado no DOE de 31/01/2023</t>
    </r>
  </si>
  <si>
    <t>Lei nº 2.299, de 03/08/2010Publicada no DOE de 09/08/2010</t>
  </si>
  <si>
    <t>Altera a Lei n. 2.308, de 22 de outubro de 2010, que Cria o Sistema Estadual de Incentivos a Serviços Ambientais - SISA, o Programa de Incentivos por Serviços Ambientais - ISA Carbono e demais Programas de Serviços Ambientais e Produtos Ecossistêmicos do Estado e dá outras providências.”</t>
  </si>
  <si>
    <r>
      <rPr>
        <i/>
        <u/>
        <sz val="8"/>
        <color rgb="FF1155CC"/>
        <rFont val="&quot;Work Sans&quot;, sans-serif"/>
      </rPr>
      <t>Lei nº 2.843, de 09/01/2014</t>
    </r>
    <r>
      <rPr>
        <i/>
        <sz val="8"/>
        <color rgb="FF222222"/>
        <rFont val="&quot;Work Sans&quot;, sans-serif"/>
      </rPr>
      <t>Publicada no DOE de 10/01/2014</t>
    </r>
  </si>
  <si>
    <t>Dispõe sobre as diretrizes orçamentárias para o exercício financeiro de 2011 e dá outras providências.</t>
  </si>
  <si>
    <t>Ratifica a alteração de nomenclatura da Secretaria de Estado de Produção e Agronegócio - SEPA para Secretaria de Estado de Produção e Agronegócio - SEPROD.</t>
  </si>
  <si>
    <t>Revogada pela Lei nº 2.424 , de 08 de Julho de 2011.</t>
  </si>
  <si>
    <t>Dispõe sobre a produção, importação, exportação, distribuição, armazenamento, transporte interno, comércio, prestação de serviços, consumo, uso e devolução, recebimento, recolhimento e destinação final das embalagens e das sobras de agrotóxicos, seus componentes e afins no Estado e dá outras providências.</t>
  </si>
  <si>
    <r>
      <rPr>
        <i/>
        <u/>
        <sz val="8"/>
        <color rgb="FF1155CC"/>
        <rFont val="&quot;Work Sans&quot;, sans-serif"/>
      </rPr>
      <t>Lei nº 2.836, de 30/12/2013</t>
    </r>
    <r>
      <rPr>
        <i/>
        <sz val="8"/>
        <color rgb="FF222222"/>
        <rFont val="&quot;Work Sans&quot;, sans-serif"/>
      </rPr>
      <t>Publicada no DOE de 31/12/2013</t>
    </r>
  </si>
  <si>
    <r>
      <rPr>
        <i/>
        <u/>
        <sz val="8"/>
        <color rgb="FF1155CC"/>
        <rFont val="&quot;Work Sans&quot;, sans-serif"/>
      </rPr>
      <t>Decreto nº 11.124, de 07/10/2022</t>
    </r>
    <r>
      <rPr>
        <i/>
        <sz val="8"/>
        <color rgb="FF222222"/>
        <rFont val="&quot;Work Sans&quot;, sans-serif"/>
      </rPr>
      <t>Publicado no DOE de 10/10/2022</t>
    </r>
  </si>
  <si>
    <t>Lei nº 2.142, de 23/07/2009Publicada no DOE de 29/07/2009</t>
  </si>
  <si>
    <t>Altera a Lei n. 1.426, de 27 de dezembro de 2001, que dispõe sobre a preservação e conservação das florestas do Estado, institui o Sistema Estadual de Áreas Naturais Protegidas, cria o Conselho Florestal Estadual e o Fundo Estadual de Florestas e dá outras providências.</t>
  </si>
  <si>
    <r>
      <rPr>
        <i/>
        <u/>
        <sz val="8"/>
        <color rgb="FF1155CC"/>
        <rFont val="&quot;Work Sans&quot;, sans-serif"/>
      </rPr>
      <t>Lei nº 2.728, de 21/08/2013</t>
    </r>
    <r>
      <rPr>
        <i/>
        <sz val="8"/>
        <color rgb="FF222222"/>
        <rFont val="&quot;Work Sans&quot;, sans-serif"/>
      </rPr>
      <t>Publicada no DOE de 22/08/2013</t>
    </r>
  </si>
  <si>
    <t>Dispõe sobre as diretrizes orçamentárias para o exercício financeiro de 2010.</t>
  </si>
  <si>
    <t>Revogada pela Lei nº 2.299 , de 03 de Agosto de 2010.</t>
  </si>
  <si>
    <t>Autoriza o Poder Executivo a transferir créditos de carbono à Companhia Agência de Desenvolvimento de Serviços Ambientais do Estado do Acre S/A.</t>
  </si>
  <si>
    <t>Autoriza a transferência de título de créditos de carbono à Companhia Agência de Desenvolvimento de Serviços Ambientais do Estado do Acre S/A – CDSA.</t>
  </si>
  <si>
    <r>
      <rPr>
        <i/>
        <u/>
        <sz val="8"/>
        <color rgb="FF1155CC"/>
        <rFont val="&quot;Work Sans&quot;, sans-serif"/>
      </rPr>
      <t>Lei nº 2.707, de 06/06/2013</t>
    </r>
    <r>
      <rPr>
        <i/>
        <sz val="8"/>
        <color rgb="FF222222"/>
        <rFont val="&quot;Work Sans&quot;, sans-serif"/>
      </rPr>
      <t>Publicada no DOE de 07/06/2013</t>
    </r>
  </si>
  <si>
    <r>
      <rPr>
        <i/>
        <u/>
        <sz val="8"/>
        <color rgb="FF1155CC"/>
        <rFont val="&quot;Work Sans&quot;, sans-serif"/>
      </rPr>
      <t>Decreto nº 11.093, de 26/07/2022</t>
    </r>
    <r>
      <rPr>
        <i/>
        <sz val="8"/>
        <color rgb="FF222222"/>
        <rFont val="&quot;Work Sans&quot;, sans-serif"/>
      </rPr>
      <t>Publicado no DOE de 28/07/2022</t>
    </r>
  </si>
  <si>
    <t>Lei nº 2.014, de 25/07/2008Publicada no DOE de 28/07/2008</t>
  </si>
  <si>
    <t>Altera a Lei n. 2.568, de 13 de julho de 2012, que autoriza o Poder Executivo a contratar operações de crédito junto ao Banco Nacional de Desenvolvimento Econômico e Social - BNDES e a abrir créditos adicionais para o Projeto Saneamento Ambiental nos Municípios do Acre – SANEAC, mediante garantia da União.</t>
  </si>
  <si>
    <r>
      <rPr>
        <i/>
        <u/>
        <sz val="8"/>
        <color rgb="FF1155CC"/>
        <rFont val="&quot;Work Sans&quot;, sans-serif"/>
      </rPr>
      <t>Lei nº 2.704, de 09/05/2013</t>
    </r>
    <r>
      <rPr>
        <i/>
        <sz val="8"/>
        <color rgb="FF222222"/>
        <rFont val="&quot;Work Sans&quot;, sans-serif"/>
      </rPr>
      <t>Publicada no DOE de 10/05/2013</t>
    </r>
  </si>
  <si>
    <t>Dispõe sobre as diretrizes orçamentárias para o exercício financeiro de 2009.</t>
  </si>
  <si>
    <t>Revogada pela Lei nº 2.142 , de 23 de Julho de 2009.</t>
  </si>
  <si>
    <t>Autoriza o Poder Executivo a instituir e participar de Fundo de Investimento em Participações que tenha atuação na área de reflorestamento, no âmbito do Programa de Desenvolvimento Sustentável do Estado do Acre - PDSA - Fase II.</t>
  </si>
  <si>
    <t>Institui a Plataforma de Integração e Monitoramento de Dados Ambientais do Centro Integrado de Geoprocessamento e Monitoramento Ambiental – PCIGMA e a Plataforma de Gestão do Cadastro Ambiental Rural – PGCAR, regulamenta seus funcionamentos e dá outras providências.</t>
  </si>
  <si>
    <t>Lei nº 1.913, de 31/07/2007Publicada no DOE de 03/08/2007</t>
  </si>
  <si>
    <r>
      <rPr>
        <i/>
        <u/>
        <sz val="8"/>
        <color rgb="FF1155CC"/>
        <rFont val="&quot;Work Sans&quot;, sans-serif"/>
      </rPr>
      <t>Lei nº 2.696, de 17/01/2013</t>
    </r>
    <r>
      <rPr>
        <i/>
        <sz val="8"/>
        <color rgb="FF222222"/>
        <rFont val="&quot;Work Sans&quot;, sans-serif"/>
      </rPr>
      <t>Publicada no DOE de 18/01/2013</t>
    </r>
  </si>
  <si>
    <r>
      <rPr>
        <i/>
        <u/>
        <sz val="8"/>
        <color rgb="FF1155CC"/>
        <rFont val="&quot;Work Sans&quot;, sans-serif"/>
      </rPr>
      <t>Decreto nº 11.079, de 30/06/2022</t>
    </r>
    <r>
      <rPr>
        <i/>
        <sz val="8"/>
        <color rgb="FF222222"/>
        <rFont val="&quot;Work Sans&quot;, sans-serif"/>
      </rPr>
      <t>Publicado no DOE de 01/07/2022</t>
    </r>
  </si>
  <si>
    <t>Altera a Lei n. 2.426, de 21 de julho de 2011, que “Autoriza a criação do Programa de Residência Florestal, no âmbito da Secretaria de Estado de Floresta - SEF dá outras proviAltera a Lei n. 2.426, de 21 de julho de 2011, que “Autoriza a criação do Programa de Residência Florestal, no âmbito da Secretaria de Estado de Floresta - SEF dá outras providências.”</t>
  </si>
  <si>
    <t>Dispõe sobre as diretrizes orçamentárias para o exercício financeiro de 2008 e dá outras providências</t>
  </si>
  <si>
    <r>
      <rPr>
        <i/>
        <u/>
        <sz val="8"/>
        <color rgb="FF1155CC"/>
        <rFont val="&quot;Work Sans&quot;, sans-serif"/>
      </rPr>
      <t>Lei nº 2.693, de 17/01/2013</t>
    </r>
    <r>
      <rPr>
        <i/>
        <sz val="8"/>
        <color rgb="FF222222"/>
        <rFont val="&quot;Work Sans&quot;, sans-serif"/>
      </rPr>
      <t>Publicada no DOE de 18/01/2013</t>
    </r>
  </si>
  <si>
    <t>Revogada pela Lei nº 2.014 , de 25 de Julho de 2008.</t>
  </si>
  <si>
    <t>Lei nº 1.789, de 03/07/2006Publicada no DOE de 19/07/2006</t>
  </si>
  <si>
    <t>Altera as Leis ns. 1.904, de 5 de junho de 2007, que “Institui o Zoneamento Ecológico – Econômico do Estado do Acre – ZEE”; e 2.025, de 20 de outubro de 2008, que ”Cria o Programa Estadual de Certificação de Unidades Produtivas Familiares do Estado do Acre”, e dá outras providências.”</t>
  </si>
  <si>
    <r>
      <rPr>
        <i/>
        <u/>
        <sz val="8"/>
        <color rgb="FF1155CC"/>
        <rFont val="&quot;Work Sans&quot;, sans-serif"/>
      </rPr>
      <t>Lei nº 2.689, de 14/01/2013</t>
    </r>
    <r>
      <rPr>
        <i/>
        <sz val="8"/>
        <color rgb="FF222222"/>
        <rFont val="&quot;Work Sans&quot;, sans-serif"/>
      </rPr>
      <t>Publicada no DOE de 15/01/2013</t>
    </r>
  </si>
  <si>
    <t>Prorroga o prazo da criação da Unidade de Conservação Provisória – Floresta Estadual do Afluente do Complexo do Seringal Jurupari.</t>
  </si>
  <si>
    <t>Dispõe sobre as diretrizes orçamentárias para o exercício financeiro de 2007 e dá outras providências.</t>
  </si>
  <si>
    <r>
      <rPr>
        <i/>
        <u/>
        <sz val="8"/>
        <color rgb="FF1155CC"/>
        <rFont val="&quot;Work Sans&quot;, sans-serif"/>
      </rPr>
      <t>Decreto nº 11.054, de 20/05/2022</t>
    </r>
    <r>
      <rPr>
        <i/>
        <sz val="8"/>
        <color rgb="FF222222"/>
        <rFont val="&quot;Work Sans&quot;, sans-serif"/>
      </rPr>
      <t>Publicado no DOE de 25/05/2022</t>
    </r>
  </si>
  <si>
    <t>Lei nº 4.281, de 27/12/2023Publicada no DOE de 12/01/2024</t>
  </si>
  <si>
    <t>Art. 33. A Secretaria de Estado de Planejamento e Desenvolvimento Econômico-Sustentável divulgará, para cada unidade orçamentária dos órgãos, fundos e entidades que integram os orçamentos de que trata esta lei, os quadros de detalhamento de despesas, especificando, para cada categoria de programação, os valores fixados na forma que dispõe o art. 3º desta lei.
Programa indicados no Anexo da LDO: Florestas Sustentáveis (pág. 9); Gestão de Política de Meio Ambiente (pág. 20); Proteção ao Meio Ambiente (Pág. 21)</t>
  </si>
  <si>
    <t>Altera dispositivos da Lei n. 1.460, de 3 de maio de 2002, que “Institui o Programa de Apoio às populações tradicionais e pequenos produtores – PRÓ- FLORESTANIA, e dá outras providências".</t>
  </si>
  <si>
    <r>
      <rPr>
        <i/>
        <u/>
        <sz val="8"/>
        <color rgb="FF1155CC"/>
        <rFont val="&quot;Work Sans&quot;, sans-serif"/>
      </rPr>
      <t>Lei nº 2.743, de 08/11/2013</t>
    </r>
    <r>
      <rPr>
        <i/>
        <sz val="8"/>
        <color rgb="FF222222"/>
        <rFont val="&quot;Work Sans&quot;, sans-serif"/>
      </rPr>
      <t>Publicada no DOE de 08/11/2013</t>
    </r>
  </si>
  <si>
    <t>Lei nº 1.651, de 22/07/2005Publicada no DOE de 26/07/2005</t>
  </si>
  <si>
    <t>Estima a receita e fixa a despesa do Estado para o exercício financeiro de 2024, e dá outras providências.</t>
  </si>
  <si>
    <t>Autoriza o Poder Executivo firmar Contrato de Concessão de Colaboração Financeira Não Reembolsável junto ao Banco Nacional de Desenvolvimento Econômico e Social - BNDES e a abrir créditos adicionais, para o Programa de Prevenção e Controle do Desmatamento no Acre.</t>
  </si>
  <si>
    <r>
      <rPr>
        <i/>
        <u/>
        <sz val="8"/>
        <color rgb="FF1155CC"/>
        <rFont val="&quot;Work Sans&quot;, sans-serif"/>
      </rPr>
      <t>Lei nº 2.739, de 25/09/2013</t>
    </r>
    <r>
      <rPr>
        <i/>
        <sz val="8"/>
        <color rgb="FF222222"/>
        <rFont val="&quot;Work Sans&quot;, sans-serif"/>
      </rPr>
      <t>Publicada no DOE de 26/09/2013</t>
    </r>
  </si>
  <si>
    <t>Institui o Conselho de Desenvolvimento Econômico do Estado do Acre – CDE e revoga o Decreto nº 6.555, de 17 de abril de 2017, que institui o Conselho de Desenvolvimento Econômico Sustentável do Estado do Acre – CEDES.</t>
  </si>
  <si>
    <t>Dispõe sobre as diretrizes orçamentárias para o exercício financeiro de 2006 e dá outras providências.</t>
  </si>
  <si>
    <t>Revogada pela Lei nº 1.789 , de 03 de Julho de 2006.</t>
  </si>
  <si>
    <r>
      <rPr>
        <i/>
        <u/>
        <sz val="8"/>
        <color rgb="FF1155CC"/>
        <rFont val="&quot;Work Sans&quot;, sans-serif"/>
      </rPr>
      <t>Decreto nº 10.308, de 03/12/2018</t>
    </r>
    <r>
      <rPr>
        <i/>
        <sz val="8"/>
        <color rgb="FF222222"/>
        <rFont val="&quot;Work Sans&quot;, sans-serif"/>
      </rPr>
      <t>Publicado no DOE de 04/12/2018</t>
    </r>
  </si>
  <si>
    <t>Autoriza o Poder Executivo a contratar operações de crédito junto ao Banco Internacional para a Reconstrução e Desenvolvimento – BIRD e a abrir créditos adicionais para o Programa de Desenvolvimento das Políticas Públicas do Estado do Acre - Acre Eficiente e Sustentável, mediante garantia da União e dá outras providências.</t>
  </si>
  <si>
    <r>
      <rPr>
        <i/>
        <u/>
        <sz val="8"/>
        <color rgb="FF1155CC"/>
        <rFont val="&quot;Work Sans&quot;, sans-serif"/>
      </rPr>
      <t>Lei nº 2.727, de 21/08/2013</t>
    </r>
    <r>
      <rPr>
        <i/>
        <sz val="8"/>
        <color rgb="FF222222"/>
        <rFont val="&quot;Work Sans&quot;, sans-serif"/>
      </rPr>
      <t>Publicada no DOE de 22/08/2013</t>
    </r>
  </si>
  <si>
    <t>Lei nº 1.567, de 15/07/2004Publicada no DOE de 16/07/2004</t>
  </si>
  <si>
    <t>Altera a Lei n. 2.308, de 22 de outubro de 2010, que cria o Sistema Estadual de Incentivos a Serviços Ambientais – SISA.</t>
  </si>
  <si>
    <t>Estabelece a nova estrutura organizacional básica da Comissão Estadual de Validação e Acompanhamento – CEVA do Sistema Estadual de Incentivo a Serviços Ambientais - SISA para o biênio de 2018-2019.</t>
  </si>
  <si>
    <r>
      <rPr>
        <i/>
        <u/>
        <sz val="8"/>
        <color rgb="FF1155CC"/>
        <rFont val="&quot;Work Sans&quot;, sans-serif"/>
      </rPr>
      <t>Lei nº 2.704, de 09/05/2013</t>
    </r>
    <r>
      <rPr>
        <i/>
        <sz val="8"/>
        <color rgb="FF222222"/>
        <rFont val="&quot;Work Sans&quot;, sans-serif"/>
      </rPr>
      <t>Publicada no DOE de 10/05/2013</t>
    </r>
  </si>
  <si>
    <r>
      <rPr>
        <i/>
        <u/>
        <sz val="8"/>
        <color rgb="FF1155CC"/>
        <rFont val="&quot;Work Sans&quot;, sans-serif"/>
      </rPr>
      <t>Decreto nº 10.278, de 14/10/2021</t>
    </r>
    <r>
      <rPr>
        <i/>
        <sz val="8"/>
        <color rgb="FF222222"/>
        <rFont val="&quot;Work Sans&quot;, sans-serif"/>
      </rPr>
      <t>Publicado no DOE de 15/10/2021</t>
    </r>
  </si>
  <si>
    <t>Dispõe sobre as diretrizes orçamentárias para o exercício financeiro de 2005 e dá outras providências.</t>
  </si>
  <si>
    <r>
      <rPr>
        <i/>
        <u/>
        <sz val="8"/>
        <color rgb="FF1155CC"/>
        <rFont val="&quot;Work Sans&quot;, sans-serif"/>
      </rPr>
      <t>Lei nº 2.693, de 17/01/2013</t>
    </r>
    <r>
      <rPr>
        <i/>
        <sz val="8"/>
        <color rgb="FF222222"/>
        <rFont val="&quot;Work Sans&quot;, sans-serif"/>
      </rPr>
      <t>Publicada no DOE de 18/01/2013</t>
    </r>
  </si>
  <si>
    <t>Revogada pela Lei nº 1.651 , de 22 de Julho de 2005.</t>
  </si>
  <si>
    <r>
      <rPr>
        <i/>
        <u/>
        <sz val="8"/>
        <color rgb="FF1155CC"/>
        <rFont val="&quot;Work Sans&quot;, sans-serif"/>
      </rPr>
      <t>Lei nº 2.689, de 14/01/2013</t>
    </r>
    <r>
      <rPr>
        <i/>
        <sz val="8"/>
        <color rgb="FF222222"/>
        <rFont val="&quot;Work Sans&quot;, sans-serif"/>
      </rPr>
      <t>Publicada no DOE de 15/01/2013</t>
    </r>
  </si>
  <si>
    <t>Lei nº 1.504, de 11/08/2003Publicada no DOE de 12/08/2003</t>
  </si>
  <si>
    <t>Estabelece a nova estrutura organizacional básica da Comissão Estadual de Validação e Acompanhamento – CEVA do Sistema Estadual de Incentivo a Serviços Ambientais – SISA; e Revoga o Decreto nº 10.308, de 03 de dezembro de 2018.</t>
  </si>
  <si>
    <r>
      <rPr>
        <i/>
        <u/>
        <sz val="8"/>
        <color rgb="FF1155CC"/>
        <rFont val="&quot;Work Sans&quot;, sans-serif"/>
      </rPr>
      <t>Lei nº 2.610, de 04/12/2012</t>
    </r>
    <r>
      <rPr>
        <i/>
        <sz val="8"/>
        <color rgb="FF222222"/>
        <rFont val="&quot;Work Sans&quot;, sans-serif"/>
      </rPr>
      <t>Publicada no DOE de 05/12/2012</t>
    </r>
  </si>
  <si>
    <r>
      <rPr>
        <i/>
        <u/>
        <sz val="8"/>
        <color rgb="FF1155CC"/>
        <rFont val="&quot;Work Sans&quot;, sans-serif"/>
      </rPr>
      <t>Decreto nº 10.160, de 28/09/2021</t>
    </r>
    <r>
      <rPr>
        <i/>
        <sz val="8"/>
        <color rgb="FF222222"/>
        <rFont val="&quot;Work Sans&quot;, sans-serif"/>
      </rPr>
      <t>Publicado no DOE de 29/09/2021</t>
    </r>
  </si>
  <si>
    <t>Dispõe sobre as diretrizes orçamentárias para o exercício financeiro de 2004 e dá outras providências.</t>
  </si>
  <si>
    <t>Altera o art. 3º da Lei n. 2.570, de 13 de julho de 2012, que “Autoriza o Poder Executivo a contratar operações de crédito junto ao Banco Internacional para Reconstrução e Desenvolvimento – BIRD e a abrir créditos adicionais para o Programa de Saneamento Ambiental e Inclusão Socioeconômica do Acre – PROSER.”</t>
  </si>
  <si>
    <t>Revogada pela Lei nº 1.567 , de 15 de Julho de 2004.</t>
  </si>
  <si>
    <r>
      <rPr>
        <i/>
        <u/>
        <sz val="8"/>
        <color rgb="FF1155CC"/>
        <rFont val="&quot;Work Sans&quot;, sans-serif"/>
      </rPr>
      <t>Lei nº 2.609, de 04/12/2012</t>
    </r>
    <r>
      <rPr>
        <i/>
        <sz val="8"/>
        <color rgb="FF222222"/>
        <rFont val="&quot;Work Sans&quot;, sans-serif"/>
      </rPr>
      <t>Publicada no DOE de 05/12/2012</t>
    </r>
  </si>
  <si>
    <t>Altera o Decreto nº 921, de 3 de dezembro de 1998, que “Incorpora à Legislação Tributária do Acre o Convênio ICMS 100/97, que concede benefícios fiscais nas operações com insumos agropecuários e dá outras providências”</t>
  </si>
  <si>
    <t>Lei nº 1.468, de 16/07/2002Publicada no DOE de 19/07/2002</t>
  </si>
  <si>
    <r>
      <rPr>
        <i/>
        <u/>
        <sz val="8"/>
        <color rgb="FF1155CC"/>
        <rFont val="&quot;Work Sans&quot;, sans-serif"/>
      </rPr>
      <t>Decreto nº 10.123, de 27/09/2021</t>
    </r>
    <r>
      <rPr>
        <i/>
        <sz val="8"/>
        <color rgb="FF222222"/>
        <rFont val="&quot;Work Sans&quot;, sans-serif"/>
      </rPr>
      <t>Publicado no DOE de 29/09/2021</t>
    </r>
  </si>
  <si>
    <t>Altera o Parágrafo único do art. 3º da Lei n. 2.569, de 13 de julho de 2012 que “Autoriza o Poder Executivo a contratar operações de crédito e a abrir créditos adicionais para o Programa de Desenvolvimento Sustentável do Estado do Acre – PDSA – Fase II, junto ao Banco Interamericano de Desenvolvimento – BID.</t>
  </si>
  <si>
    <r>
      <rPr>
        <i/>
        <u/>
        <sz val="8"/>
        <color rgb="FF1155CC"/>
        <rFont val="&quot;Work Sans&quot;, sans-serif"/>
      </rPr>
      <t>Lei nº 2.601, de 21/09/2012</t>
    </r>
    <r>
      <rPr>
        <i/>
        <sz val="8"/>
        <color rgb="FF222222"/>
        <rFont val="&quot;Work Sans&quot;, sans-serif"/>
      </rPr>
      <t>Publicada no DOE de 24/09/2012</t>
    </r>
  </si>
  <si>
    <t>Dispõe sobre as diretrizes orçamentárias para o exercício financeiro de 2003 e dá outras providências.</t>
  </si>
  <si>
    <t>Revogada pela Lei nº 1.504 , de 11 de Agosto de 2003.</t>
  </si>
  <si>
    <t>Altera a Lei n. 2.426, de 21 de julho de 2011, que “Autoriza a criação do Programa de Residência Florestal no âmbito da Secretaria de Estado de Desenvolvimento Florestal, da Indústria, do Comércio e dos Serviços Sustentáveis – SEDENS e dá outras providências.”</t>
  </si>
  <si>
    <t>Institui a Comissão de Alimentos Tradicionais dos Povos do Acre - CATRAPOACRE.</t>
  </si>
  <si>
    <r>
      <rPr>
        <i/>
        <u/>
        <sz val="8"/>
        <color rgb="FF1155CC"/>
        <rFont val="&quot;Work Sans&quot;, sans-serif"/>
      </rPr>
      <t>Lei nº 2.559, de 17/05/2012</t>
    </r>
    <r>
      <rPr>
        <i/>
        <sz val="8"/>
        <color rgb="FF222222"/>
        <rFont val="&quot;Work Sans&quot;, sans-serif"/>
      </rPr>
      <t>Publicada no DOE de 18/05/2012</t>
    </r>
  </si>
  <si>
    <t>Lei nº 1.399, de 30/07/2001Publicada no DOE de 02/08/2001</t>
  </si>
  <si>
    <r>
      <rPr>
        <i/>
        <u/>
        <sz val="8"/>
        <color rgb="FF1155CC"/>
        <rFont val="&quot;Work Sans&quot;, sans-serif"/>
      </rPr>
      <t>Decreto nº 9.757, de 09/08/2021</t>
    </r>
    <r>
      <rPr>
        <i/>
        <sz val="8"/>
        <color rgb="FF222222"/>
        <rFont val="&quot;Work Sans&quot;, sans-serif"/>
      </rPr>
      <t>Publicado no DOE de 10/08/2021</t>
    </r>
  </si>
  <si>
    <t>Autoriza o Poder Executivo a firmar Contrato de Concessão de Colaboração Financeira Não Reembolsável junto ao Banco Nacional de Desenvolvimento Econômico e Social - BNDES e a abrir créditos adicionais, para o Programa Acre: Incêndios Florestais Zero.</t>
  </si>
  <si>
    <r>
      <rPr>
        <i/>
        <u/>
        <sz val="8"/>
        <color rgb="FF1155CC"/>
        <rFont val="&quot;Work Sans&quot;, sans-serif"/>
      </rPr>
      <t>Lei nº 2.607, de 04/12/2012</t>
    </r>
    <r>
      <rPr>
        <i/>
        <sz val="8"/>
        <color rgb="FF222222"/>
        <rFont val="&quot;Work Sans&quot;, sans-serif"/>
      </rPr>
      <t>Publicada no DOE de 05/12/2012</t>
    </r>
  </si>
  <si>
    <t>Dispõe sobre as diretrizes orçamentárias para o exercício financeiro de 2002 e dá outras providências.</t>
  </si>
  <si>
    <t>Revogada pela Lei nº 1.468 , de 16 de Julho de 2002.</t>
  </si>
  <si>
    <t>Estabelece a Estrutura Organizacional Básica da Secretaria de Estado de Meio Ambiente e das Políticas Indígenas – SEMAPI; e Revoga o Decreto nº 3.899, de 29 de agosto de 2019.</t>
  </si>
  <si>
    <r>
      <rPr>
        <i/>
        <u/>
        <sz val="8"/>
        <color rgb="FF1155CC"/>
        <rFont val="&quot;Work Sans&quot;, sans-serif"/>
      </rPr>
      <t>Decreto nº 9.670, de 24/09/2018</t>
    </r>
    <r>
      <rPr>
        <i/>
        <sz val="8"/>
        <color rgb="FF222222"/>
        <rFont val="&quot;Work Sans&quot;, sans-serif"/>
      </rPr>
      <t>Publicado no DOE de 25/09/2018</t>
    </r>
  </si>
  <si>
    <t>Altera a Lei n. 2.568, de 13 de julho de 2012, que “Autoriza o Poder Executivo Estadual a contratar operações de crédito junto ao Banco Nacional de Desenvolvimento Econômico e Social - BNDES e a abrir créditos adicionais para o Projeto Saneamento Ambiental nos Municípios do Acre – SANEAC.”</t>
  </si>
  <si>
    <t>Lei nº 1.346, de 20/12/2000Publicada no DOE de 27/12/2000</t>
  </si>
  <si>
    <r>
      <rPr>
        <i/>
        <u/>
        <sz val="8"/>
        <color rgb="FF1155CC"/>
        <rFont val="&quot;Work Sans&quot;, sans-serif"/>
      </rPr>
      <t>Lei nº 2.570, de 13/07/2012</t>
    </r>
    <r>
      <rPr>
        <i/>
        <sz val="8"/>
        <color rgb="FF222222"/>
        <rFont val="&quot;Work Sans&quot;, sans-serif"/>
      </rPr>
      <t>Publicada no DOE de 16/07/2012</t>
    </r>
  </si>
  <si>
    <t>Dispõe sobre as diretrizes orçamentárias para o exercício financeiro de 2001 e dá outras providências.</t>
  </si>
  <si>
    <t>Autoriza o Poder Executivo a contratar operações de crédito junto ao Banco Internacional para Reconstrução e Desenvolvimento – BIRD e a abrir créditos adicionais para o Programa de Saneamento Ambiental e Inclusão Socioeconômica do Acre - PROSER.</t>
  </si>
  <si>
    <t>Revogada pela Lei nº 1.399 , de 30 de Julho de 2001.</t>
  </si>
  <si>
    <r>
      <rPr>
        <i/>
        <u/>
        <sz val="8"/>
        <color rgb="FF1155CC"/>
        <rFont val="&quot;Work Sans&quot;, sans-serif"/>
      </rPr>
      <t>Lei nº 2.569, de 13/07/2012</t>
    </r>
    <r>
      <rPr>
        <i/>
        <sz val="8"/>
        <color rgb="FF222222"/>
        <rFont val="&quot;Work Sans&quot;, sans-serif"/>
      </rPr>
      <t>Publicada no DOE de 16/07/2012</t>
    </r>
  </si>
  <si>
    <t>Lei nº 1.292, de 31/08/1999Publicada no DOE de 01/09/1999</t>
  </si>
  <si>
    <t>Dispõe sobre a reposição florestal no Estado do Acre.</t>
  </si>
  <si>
    <t>Autoriza o Poder Executivo a contratar operações de crédito e a abrir créditos adicionais para o Programa de Desenvolvimento Sustentável do Estado do Acre – PDSA – Fase II, junto ao Banco Interamericano de Desenvolvimento – BID.</t>
  </si>
  <si>
    <r>
      <rPr>
        <i/>
        <u/>
        <sz val="8"/>
        <color rgb="FF1155CC"/>
        <rFont val="&quot;Work Sans&quot;, sans-serif"/>
      </rPr>
      <t>Decreto nº 9.029, de 26/05/2021</t>
    </r>
    <r>
      <rPr>
        <i/>
        <sz val="8"/>
        <color rgb="FF222222"/>
        <rFont val="&quot;Work Sans&quot;, sans-serif"/>
      </rPr>
      <t>Publicado no DOE de 02/06/2021</t>
    </r>
  </si>
  <si>
    <r>
      <rPr>
        <i/>
        <u/>
        <sz val="8"/>
        <color rgb="FF1155CC"/>
        <rFont val="&quot;Work Sans&quot;, sans-serif"/>
      </rPr>
      <t>Lei nº 2.568, de 13/07/2012</t>
    </r>
    <r>
      <rPr>
        <i/>
        <sz val="8"/>
        <color rgb="FF222222"/>
        <rFont val="&quot;Work Sans&quot;, sans-serif"/>
      </rPr>
      <t>Publicada no DOE de 16/07/2012</t>
    </r>
  </si>
  <si>
    <t>Dispõe sobre as diretrizes orçamentárias para o exercício financeiro de 2000 e dá outras providências.</t>
  </si>
  <si>
    <t>Revogada pela Lei nº 1.346 , de 20 de Dezembro de 2000.</t>
  </si>
  <si>
    <t>Autoriza o Poder Executivo Estadual a contratar operações de crédito junto ao Banco Nacional de Desenvolvimento Econômico e Social - BNDES e a abrir créditos adicionais para o Projeto Saneamento Ambiental nos Municípios do Acre – SANEAC, mediante garantia da União.</t>
  </si>
  <si>
    <t>Institui o Programa Estadual de Eficiência e Racionalização do Uso de Energia Elétrica nos Prédios e Logradouros Públicos Estaduais – PROEEN.</t>
  </si>
  <si>
    <t>Lei nº 1.269, de 17/07/1998Publicada no DOE de 20/07/1998</t>
  </si>
  <si>
    <r>
      <rPr>
        <i/>
        <u/>
        <sz val="8"/>
        <color rgb="FF1155CC"/>
        <rFont val="&quot;Work Sans&quot;, sans-serif"/>
      </rPr>
      <t>Lei nº 2.543, de 04/01/2012</t>
    </r>
    <r>
      <rPr>
        <i/>
        <sz val="8"/>
        <color rgb="FF222222"/>
        <rFont val="&quot;Work Sans&quot;, sans-serif"/>
      </rPr>
      <t>Publicada no DOE de 05/01/2012</t>
    </r>
  </si>
  <si>
    <r>
      <rPr>
        <i/>
        <u/>
        <sz val="8"/>
        <color rgb="FF1155CC"/>
        <rFont val="&quot;Work Sans&quot;, sans-serif"/>
      </rPr>
      <t>Decreto nº 8.920, de 18/05/2021</t>
    </r>
    <r>
      <rPr>
        <i/>
        <sz val="8"/>
        <color rgb="FF222222"/>
        <rFont val="&quot;Work Sans&quot;, sans-serif"/>
      </rPr>
      <t>Publicado no DOE de 19/05/2021</t>
    </r>
  </si>
  <si>
    <t>Dispõe sobre as diretrizes orçamentárias para o exercício financeiro de 1999 e dá outras providências.</t>
  </si>
  <si>
    <t>Autoriza o Instituto de Terras do Acre – ITERACRE a demarcar e a expedir título de reconhecimento provisório de posse aos atuais ocupantes de áreas em terras públicas arrecadadas ou em processo discriminatório, para fins de regularização fundiária e ambiental.</t>
  </si>
  <si>
    <t xml:space="preserve">Art. 13. Os preços de venda dos produtos adquiridos pelo Governo Estadual, não poderão ser inferiores ao seu custo de remissão, exceto nos casos em que a Lei Orçamentária tenha previsto a respectiva subvenção econômica e quando estes se destinarem ao suprimento da oferta de produtos estratégicos de interesse público.
 IV - produtos do extrativismo vegetal.
Art. 19. A Agência Financeira Oficial de Fomento na concessão de financiamento observará as seguintes políticas:
II - defesa e prevenção do meio ambiente; </t>
  </si>
  <si>
    <r>
      <rPr>
        <i/>
        <u/>
        <sz val="8"/>
        <color rgb="FF1155CC"/>
        <rFont val="&quot;Work Sans&quot;, sans-serif"/>
      </rPr>
      <t>Lei nº 2.542, de 04/01/2012</t>
    </r>
    <r>
      <rPr>
        <i/>
        <sz val="8"/>
        <color rgb="FF222222"/>
        <rFont val="&quot;Work Sans&quot;, sans-serif"/>
      </rPr>
      <t>Publicada no DOE de 05/01/2012</t>
    </r>
  </si>
  <si>
    <t>Institui o Regimento Interno do Conselho Estadual de Meio Ambiente e Floresta - CEMAF.</t>
  </si>
  <si>
    <t>Lei nº 1.228, de 27/06/1997Publicada no DOE de 09/07/1997</t>
  </si>
  <si>
    <r>
      <rPr>
        <i/>
        <u/>
        <sz val="8"/>
        <color rgb="FF1155CC"/>
        <rFont val="&quot;Work Sans&quot;, sans-serif"/>
      </rPr>
      <t>Decreto nº 8.735, de 20/04/2021</t>
    </r>
    <r>
      <rPr>
        <i/>
        <sz val="8"/>
        <color rgb="FF222222"/>
        <rFont val="&quot;Work Sans&quot;, sans-serif"/>
      </rPr>
      <t>Publicado no DOE de 29/04/2021</t>
    </r>
  </si>
  <si>
    <t>Autoriza o Poder Executivo a alienar, por meio de doação com condição resolutiva, em favor dos vinte e dois municípios do Estado, bens móveis destinados a políticas públicas e fortalecimento institucional do sistema de educação, adquiridos com recursos do Programa de Inclusão Social e Desenvolvimento Sustentável – PROACRE.</t>
  </si>
  <si>
    <t>Lei nº 4.075, de 28/12/2022Publicada no DOE de 04/01/2023</t>
  </si>
  <si>
    <r>
      <rPr>
        <i/>
        <u/>
        <sz val="8"/>
        <color rgb="FF1155CC"/>
        <rFont val="&quot;Work Sans&quot;, sans-serif"/>
      </rPr>
      <t>Lei nº 2.541, de 04/01/2012</t>
    </r>
    <r>
      <rPr>
        <i/>
        <sz val="8"/>
        <color rgb="FF222222"/>
        <rFont val="&quot;Work Sans&quot;, sans-serif"/>
      </rPr>
      <t>Publicada no DOE de 05/01/2012</t>
    </r>
  </si>
  <si>
    <t>Dispõe sobre as diretrizes orçamentárias para o exercício financeiro de 1998 e dá outras providências.</t>
  </si>
  <si>
    <t xml:space="preserve">Art. 13.  Os preços de venda dos produtos adquiridos pelo Governo Estadual, não poderão ser inferiores ao seu custo de remissão, exceto nos casos em que a Lei Orçamentária tenha previsto a respectiva subvenção econômica e quando estes se destinarem ao suprimento da oferta de produtos estratégicos de interesse público.
 IV - produtos de extrativismo vegetal.
Art. 19. A Agência Financeira Oficial de Fomento na concessão de financiamento observará as seguintes políticas:
II - defesa e prevenção do meio ambiente; </t>
  </si>
  <si>
    <t>Altera o Decreto nº 6.573, de 17 de agosto de 2020, que instituiu o Grupo de Trabalho para monitoramento, estudos e sugestões sobre os impactos da COVID-19 relacionados aos povos indígenas, a fim de acrescentar membros em sua composição.</t>
  </si>
  <si>
    <t>Autoriza o Poder Executivo a alienar, por meio de doação com condição resolutiva, aos municípios do Estado do Acre, os bens móveis destinados à modernização das estruturas físicas funcionais dos Centros de Referência da Assistência Social – CRAS, adquiridos com recursos do Programa de Inclusão Social e Desenvolvimento Econômico Sustentável – PROACRE.</t>
  </si>
  <si>
    <t>Estima a Receita e fixa a Despesa do Estado para o exercício financeiro de 2023, e dá outras providências.</t>
  </si>
  <si>
    <t>SECRETARIA DE ESTADO DE MEIO AMBIENTE E DAS POLÍTICAS INDÍGENAS SEMAPI</t>
  </si>
  <si>
    <r>
      <rPr>
        <i/>
        <u/>
        <sz val="8"/>
        <color rgb="FF1155CC"/>
        <rFont val="&quot;Work Sans&quot;, sans-serif"/>
      </rPr>
      <t>Decreto nº 8.371, de 17/03/2021</t>
    </r>
    <r>
      <rPr>
        <i/>
        <sz val="8"/>
        <color rgb="FF222222"/>
        <rFont val="&quot;Work Sans&quot;, sans-serif"/>
      </rPr>
      <t>Publicado no DOE de 18/03/2021</t>
    </r>
  </si>
  <si>
    <r>
      <rPr>
        <i/>
        <u/>
        <sz val="8"/>
        <color rgb="FF1155CC"/>
        <rFont val="&quot;Work Sans&quot;, sans-serif"/>
      </rPr>
      <t>Lei nº 2.453, de 18/11/2011</t>
    </r>
    <r>
      <rPr>
        <i/>
        <sz val="8"/>
        <color rgb="FF222222"/>
        <rFont val="&quot;Work Sans&quot;, sans-serif"/>
      </rPr>
      <t>Publicada no DOE de 22/11/2011</t>
    </r>
  </si>
  <si>
    <t>Lei nº 1.184, de 14/06/1996Publicada no DOE de 17/06/1996</t>
  </si>
  <si>
    <t>Institui o Programa de Conscientização Ambiental no âmbito da administração estadual.</t>
  </si>
  <si>
    <t>Dispõe sobre o Conselho Estadual de Desenvolvimento Rural e Florestal Sustentável - CDRFS.</t>
  </si>
  <si>
    <r>
      <rPr>
        <i/>
        <u/>
        <sz val="8"/>
        <color rgb="FF1155CC"/>
        <rFont val="&quot;Work Sans&quot;, sans-serif"/>
      </rPr>
      <t>Lei nº 2.445, de 08/08/2011</t>
    </r>
    <r>
      <rPr>
        <i/>
        <sz val="8"/>
        <color rgb="FF222222"/>
        <rFont val="&quot;Work Sans&quot;, sans-serif"/>
      </rPr>
      <t>Publicada no DOE de 10/08/2011</t>
    </r>
  </si>
  <si>
    <t>SECRETARIA DE ESTADO DE PRODUÇÃO E AGRONEGÓCIO - SEPROD</t>
  </si>
  <si>
    <t>Dispõe sobre as diretrizes orçamentárias para o exercício financeiro de 1997, e dá outras providências.</t>
  </si>
  <si>
    <r>
      <rPr>
        <i/>
        <u/>
        <sz val="8"/>
        <color rgb="FF1155CC"/>
        <rFont val="&quot;Work Sans&quot;, sans-serif"/>
      </rPr>
      <t>Decreto nº 8.123, de 25/02/2021</t>
    </r>
    <r>
      <rPr>
        <i/>
        <sz val="8"/>
        <color rgb="FF222222"/>
        <rFont val="&quot;Work Sans&quot;, sans-serif"/>
      </rPr>
      <t>Publicado no DOE de 01/03/2021</t>
    </r>
  </si>
  <si>
    <t>Art. 13. Os preços de venda dos produtos adquiridos pelo Governo Estadual não poderão ser inferiores ao seu custo de remição, exceto nos casos em que a Lei Orçamentária tenha previsto a respectiva subvenção econômica e quando estes se destinarem ao suprimento da oferta de produtos estratégicos de interesse público. 
IV - produtos do extrativismo vegetal.
Art. 19. A agência financeira oficial de fomento, na concessão de financiamento, observará as seguintes políticas: 
II - defesa e prevenção do meio ambiente;</t>
  </si>
  <si>
    <t>INSTITUTO DE MEIO AMBIENTE DO ACRE IMAC</t>
  </si>
  <si>
    <t>Lei nº 1.156, de 19/07/1995Publicada no DOE de 20/07/1995</t>
  </si>
  <si>
    <t>Institui o Programa de Incentivo à Produção de Álcool, Açúcar, Energia Elétrica e derivados da cana-de-açúcar no Estado do Acre, e dá outras providências.</t>
  </si>
  <si>
    <t>Cria o Comitê Consultivo do Programa de Desenvolvimento Sustentável do Acre – PDSA Fase II (CCP), estabelece a estrutura organizacional básica e atribui-lhe as competências, e aprova o seu Regimento Interno.</t>
  </si>
  <si>
    <t>INSTITUTO DE TERRAS DO ACRE ITERACRE</t>
  </si>
  <si>
    <r>
      <rPr>
        <i/>
        <u/>
        <sz val="8"/>
        <color rgb="FF1155CC"/>
        <rFont val="&quot;Work Sans&quot;, sans-serif"/>
      </rPr>
      <t>Lei nº 2.426, de 21/07/2011</t>
    </r>
    <r>
      <rPr>
        <i/>
        <sz val="8"/>
        <color rgb="FF222222"/>
        <rFont val="&quot;Work Sans&quot;, sans-serif"/>
      </rPr>
      <t>Publicada no DOE de 22/07/2011</t>
    </r>
  </si>
  <si>
    <r>
      <rPr>
        <i/>
        <u/>
        <sz val="8"/>
        <color rgb="FF1155CC"/>
        <rFont val="&quot;Work Sans&quot;, sans-serif"/>
      </rPr>
      <t>Decreto nº 8.110, de 25/02/2021</t>
    </r>
    <r>
      <rPr>
        <i/>
        <sz val="8"/>
        <color rgb="FF222222"/>
        <rFont val="&quot;Work Sans&quot;, sans-serif"/>
      </rPr>
      <t>Publicado no DOE de 01/03/2021</t>
    </r>
  </si>
  <si>
    <t>INSTITUTO DE MUDANÇAS CLIMÁTICAS E REGULAÇÃO DOS SERV. AMBIENTAIS -IMC</t>
  </si>
  <si>
    <t>Dispõe sobre as diretrizes orçamentárias para o exercício financeiro de 1996, e dá outras providências.</t>
  </si>
  <si>
    <t>Art. 13. Os preços de venda dos produtos adquiridos pelo Governo Estadual não poderão ser inferiores ao seu custo de remição, exceto nos casos que a Lei Orçamentária tenha previsto a respectiva subvenção econômica e quando estes se destinarem ao suprimento da oferta de produtos estratégicos de interesse público. 
IV - produtos do extrativismo vegetal.
Art. 20. A Agência Financeira Oficial de Fomento, na concessão de financiamento, observará as seguintes políticas:
II - defesa e prevenção do meio ambiente;</t>
  </si>
  <si>
    <t>Autoriza a criação do Programa de Residência Florestal no âmbito da Secretaria de Estado de Floresta - SEF e dá outras providências.</t>
  </si>
  <si>
    <r>
      <rPr>
        <i/>
        <u/>
        <sz val="8"/>
        <color rgb="FF1155CC"/>
        <rFont val="&quot;Work Sans&quot;, sans-serif"/>
      </rPr>
      <t>Lei nº 2.339, de 10/11/2010</t>
    </r>
    <r>
      <rPr>
        <i/>
        <sz val="8"/>
        <color rgb="FF222222"/>
        <rFont val="&quot;Work Sans&quot;, sans-serif"/>
      </rPr>
      <t>Publicada no DOE de 22/11/2010</t>
    </r>
  </si>
  <si>
    <t>Institui o Regimento Interno do Instituto de Mudanças Climáticas e Regulação de Serviços Ambientais - IMC, e dá outras providências.</t>
  </si>
  <si>
    <r>
      <rPr>
        <i/>
        <u/>
        <sz val="8"/>
        <color rgb="FF1155CC"/>
        <rFont val="&quot;Work Sans&quot;, sans-serif"/>
      </rPr>
      <t>Decreto nº 8.102, de 25/07/2014</t>
    </r>
    <r>
      <rPr>
        <i/>
        <sz val="8"/>
        <color rgb="FF222222"/>
        <rFont val="&quot;Work Sans&quot;, sans-serif"/>
      </rPr>
      <t>Publicado no DOE de 31/07/2014</t>
    </r>
  </si>
  <si>
    <t>Autoriza o Poder Executivo a firmar Contrato de Concessão de Colaboração Financeira Não Reembolsável junto ao Banco Nacional de Desenvolvimento Econômico e Social - BNDES e a abrir créditos adicionais para execução da Política de Valorização do Ativo Ambiental e Florestal do Acre.</t>
  </si>
  <si>
    <t>FUNDAÇÃO DE APOIO AO DESENVOLVIMEN-TO ECONÔMICO E SOCIAL DO ACRE FADES</t>
  </si>
  <si>
    <r>
      <rPr>
        <i/>
        <u/>
        <sz val="8"/>
        <color rgb="FF1155CC"/>
        <rFont val="&quot;Work Sans&quot;, sans-serif"/>
      </rPr>
      <t>Lei nº 2.308, de 22/10/2010</t>
    </r>
    <r>
      <rPr>
        <i/>
        <sz val="8"/>
        <color rgb="FF222222"/>
        <rFont val="&quot;Work Sans&quot;, sans-serif"/>
      </rPr>
      <t>Publicada no DOE de 05/11/2010</t>
    </r>
  </si>
  <si>
    <t>Dispõe sobre as diretrizes orçamentárias para o ano de 1995, e dá outras providências.</t>
  </si>
  <si>
    <t>Aprova o Regimento Interno da Ouvidoria do Sistema Estadual de Incentivos a Serviços Ambientais - SISA e dá outras providências.</t>
  </si>
  <si>
    <t>Art. 13. Os preços de venda dos produtos adquiridos pelo Governo Estadual não poderão ser inferiores ao seu custo de remição, exceto nos casos que a Lei Orçamentária tenha previsto a respectiva subvenção econômica e quando estes se destinarem ao suprimento da oferta de produtos estratégicos de interesse público. 
IV - produtos do extrativismo vegetal.
Art. 19. A agência financeira oficial de fomento, na concessão de financiamento, observará as seguintes políticas: 
II - defesa e prevenção do meio ambiente;</t>
  </si>
  <si>
    <r>
      <rPr>
        <i/>
        <u/>
        <sz val="8"/>
        <color rgb="FF1155CC"/>
        <rFont val="&quot;Work Sans&quot;, sans-serif"/>
      </rPr>
      <t>Decreto nº 7.525, de 17/12/2020</t>
    </r>
    <r>
      <rPr>
        <i/>
        <sz val="8"/>
        <color rgb="FF222222"/>
        <rFont val="&quot;Work Sans&quot;, sans-serif"/>
      </rPr>
      <t>Publicado no DOE de 18/12/2020</t>
    </r>
  </si>
  <si>
    <t>Cria o Sistema Estadual de Incentivos a Serviços Ambientais - SISA, o Programa de Incentivos por Serviços Ambientais - ISA Carbono e demais Programas de Serviços Ambientais e Produtos Ecossistêmicos do Estado do Acre e dá outras providências.</t>
  </si>
  <si>
    <r>
      <rPr>
        <i/>
        <u/>
        <sz val="8"/>
        <color rgb="FF1155CC"/>
        <rFont val="&quot;Work Sans&quot;, sans-serif"/>
      </rPr>
      <t>Lei nº 2.302, de 11/08/2010</t>
    </r>
    <r>
      <rPr>
        <i/>
        <sz val="8"/>
        <color rgb="FF222222"/>
        <rFont val="&quot;Work Sans&quot;, sans-serif"/>
      </rPr>
      <t>Publicada no DOE de 12/08/2010</t>
    </r>
  </si>
  <si>
    <t>Lei nº 1.082, de 01/07/1993Publicada no DOE de 05/07/1993</t>
  </si>
  <si>
    <t>COMPANHIA DE DESENVOLV. E SERVIÇOS AMBIENTAIS DO ESTADO DO ACRE - CDSA</t>
  </si>
  <si>
    <t>Institui a Política Estadual de Assistência Técnica e Extensão Agroflorestal Rural para a Produção Familiar - PEATER.</t>
  </si>
  <si>
    <t>Nomeia as instituições que integram o Plenário do Conselho Estadual de Meio Ambiente e Floresta - CEMAF.</t>
  </si>
  <si>
    <r>
      <rPr>
        <i/>
        <u/>
        <sz val="8"/>
        <color rgb="FF1155CC"/>
        <rFont val="&quot;Work Sans&quot;, sans-serif"/>
      </rPr>
      <t>Lei nº 2.295, de 27/07/2010</t>
    </r>
    <r>
      <rPr>
        <i/>
        <sz val="8"/>
        <color rgb="FF222222"/>
        <rFont val="&quot;Work Sans&quot;, sans-serif"/>
      </rPr>
      <t>Publicada no DOE de 02/08/2010</t>
    </r>
  </si>
  <si>
    <r>
      <rPr>
        <i/>
        <u/>
        <sz val="8"/>
        <color rgb="FF1155CC"/>
        <rFont val="&quot;Work Sans&quot;, sans-serif"/>
      </rPr>
      <t>Decreto nº 7.248, de 09/11/2020</t>
    </r>
    <r>
      <rPr>
        <i/>
        <sz val="8"/>
        <color rgb="FF222222"/>
        <rFont val="&quot;Work Sans&quot;, sans-serif"/>
      </rPr>
      <t>Publicado no DOE de 10/11/2020</t>
    </r>
  </si>
  <si>
    <t>Dispõe sobre as Diretrizes Orçamentárias para o ano de 1994, e dá outras providências.</t>
  </si>
  <si>
    <t>FUNDO ESTADUAL DE COMANDO E CONTRO-LE AMBIENTAL</t>
  </si>
  <si>
    <t>Art. 14. Os preços de venda dos produtos adquiridos pelo Governo Estadual não poderão ser inferiores ao seu custo de remição, exceto nos casos em que a Lei Orçamentária tenha previsto a respectiva subvenção econômica e quando estes se destinarem ao suprimento da oferta de produtos  estratégicos de interesse público. 
IV - produtos de extrativismo vegetal.                    
Art. 22. A agência financeira oficial de fomento, na concessão de financiamentos, observará as seguintes políticas:
II - defesa e preservação do meio ambiente;</t>
  </si>
  <si>
    <t>Autoriza o Poder Executivo a alienar, por meio de doação com encargos, bens móveis destinados ao fortalecimento da atenção básica em saúde, a serem adquiridos com recursos do Programa de Inclusão Social e Desenvolvimento Sustentável – PROACRE, para os vinte e dois municípios do Estado.</t>
  </si>
  <si>
    <r>
      <rPr>
        <i/>
        <u/>
        <sz val="8"/>
        <color rgb="FF1155CC"/>
        <rFont val="&quot;Work Sans&quot;, sans-serif"/>
      </rPr>
      <t>Lei nº 2.293, de 27/07/2010</t>
    </r>
    <r>
      <rPr>
        <i/>
        <sz val="8"/>
        <color rgb="FF222222"/>
        <rFont val="&quot;Work Sans&quot;, sans-serif"/>
      </rPr>
      <t>Publicada no DOE de 02/08/2010</t>
    </r>
  </si>
  <si>
    <t>Altera o Decreto nº 5.866, de 29 de abril de 2020, que “Dispõe sobre a criação do Comitê de Ações Integradas de Meio Ambiente e dá outras providências."</t>
  </si>
  <si>
    <r>
      <rPr>
        <i/>
        <u/>
        <sz val="8"/>
        <color rgb="FF1155CC"/>
        <rFont val="&quot;Work Sans&quot;, sans-serif"/>
      </rPr>
      <t>Decreto nº 6.878, de 23/09/2020</t>
    </r>
    <r>
      <rPr>
        <i/>
        <sz val="8"/>
        <color rgb="FF222222"/>
        <rFont val="&quot;Work Sans&quot;, sans-serif"/>
      </rPr>
      <t>Publicado no DOE de 24/09/2020</t>
    </r>
  </si>
  <si>
    <t>Acresce o art. 4º-A a Lei n. 2.024, de 20 de outubro de 2008, que cria o Programa Estadual de Incentivo à Produção Florestal e Agroflorestal Familiar.</t>
  </si>
  <si>
    <r>
      <rPr>
        <i/>
        <u/>
        <sz val="8"/>
        <color rgb="FF1155CC"/>
        <rFont val="&quot;Work Sans&quot;, sans-serif"/>
      </rPr>
      <t>Lei nº 2.156, de 01/12/2009</t>
    </r>
    <r>
      <rPr>
        <i/>
        <sz val="8"/>
        <color rgb="FF222222"/>
        <rFont val="&quot;Work Sans&quot;, sans-serif"/>
      </rPr>
      <t>Publicada no DOE de 15/01/2010</t>
    </r>
  </si>
  <si>
    <t>Lei nº 1.044, de 01/07/1993Publicada no DOE de 05/07/1993</t>
  </si>
  <si>
    <t>Altera o Decreto nº 5.496, de 20 de março de 2020, que estabelece medidas para enfrentamento da emergência de saúde pública decorrente da COVID-19, a fim de incluir, no art. 5º, a previsão de renovação dos Alvarás de Funcionamento emitidos pelo Instituto de Defesa Agropecuária e Florestal do Estado do Acre.</t>
  </si>
  <si>
    <r>
      <rPr>
        <i/>
        <u/>
        <sz val="8"/>
        <color rgb="FF1155CC"/>
        <rFont val="&quot;Work Sans&quot;, sans-serif"/>
      </rPr>
      <t>Decreto nº 6.843, de 22/09/2020</t>
    </r>
    <r>
      <rPr>
        <i/>
        <sz val="8"/>
        <color rgb="FF222222"/>
        <rFont val="&quot;Work Sans&quot;, sans-serif"/>
      </rPr>
      <t>Publicado no DOE de 06/10/2020</t>
    </r>
  </si>
  <si>
    <t>FUNDO DE PRESERVAÇÃO E DESENV. DOS POVOS INDIGENAS DO ACRE - FPDPI/AC</t>
  </si>
  <si>
    <t>Altera a Lei n. 1.117, de 26 de janeiro de 1994, que dispõe sobre a política ambiental do Estado do Acre, e dá outras providências.</t>
  </si>
  <si>
    <t>Dispõe sobre as diretrizes orçamentárias para o ano de 1993 e dá outras providências.</t>
  </si>
  <si>
    <r>
      <rPr>
        <i/>
        <u/>
        <sz val="8"/>
        <color rgb="FF1155CC"/>
        <rFont val="&quot;Work Sans&quot;, sans-serif"/>
      </rPr>
      <t>Lei nº 2.124, de 03/06/2009</t>
    </r>
    <r>
      <rPr>
        <i/>
        <sz val="8"/>
        <color rgb="FF222222"/>
        <rFont val="&quot;Work Sans&quot;, sans-serif"/>
      </rPr>
      <t>Publicada no DOE de 04/06/2009</t>
    </r>
  </si>
  <si>
    <t xml:space="preserve"> FUNDO ESTADUAL ESPEC. PARA A RECUP. DA BACIA DO IGARAPÉ SÃO FRANCISCO</t>
  </si>
  <si>
    <t>Cria o Centro Integrado de Geoprocessamento e Monitoramento Ambiental – CIGMA, regulamenta seu funcionamento e dá outras providências.</t>
  </si>
  <si>
    <t>Autoriza o Poder Executivo a contratar operação de crédito junto ao Banco Nacional de Desenvolvimento Econômico e Social – BNDES, e a abrir créditos adicionais especiais e suplementares, para o Programa Integrado de Desenvolvimento Sustentável do Estado do Acre – Fase IV.</t>
  </si>
  <si>
    <t>Lei nº 988, de 27/08/1991Publicada no DOE de 10/09/1991</t>
  </si>
  <si>
    <r>
      <rPr>
        <i/>
        <u/>
        <sz val="8"/>
        <color rgb="FF1155CC"/>
        <rFont val="&quot;Work Sans&quot;, sans-serif"/>
      </rPr>
      <t>Decreto nº 6.842, de 21/09/2020</t>
    </r>
    <r>
      <rPr>
        <i/>
        <sz val="8"/>
        <color rgb="FF222222"/>
        <rFont val="&quot;Work Sans&quot;, sans-serif"/>
      </rPr>
      <t>Publicado no DOE de 23/09/2020</t>
    </r>
  </si>
  <si>
    <r>
      <rPr>
        <i/>
        <u/>
        <sz val="8"/>
        <color rgb="FF1155CC"/>
        <rFont val="&quot;Work Sans&quot;, sans-serif"/>
      </rPr>
      <t>Lei nº 2.100, de 17/12/2008</t>
    </r>
    <r>
      <rPr>
        <i/>
        <sz val="8"/>
        <color rgb="FF222222"/>
        <rFont val="&quot;Work Sans&quot;, sans-serif"/>
      </rPr>
      <t>Publicada no DOE de 19/12/2008</t>
    </r>
  </si>
  <si>
    <t>Lei nº 3.891, de 22/12/2021Publicada no DOE de 12/01/2022</t>
  </si>
  <si>
    <t>Dispõe sobre as diretrizes orçamentárias para o ano de 1992 e dá outras providências.</t>
  </si>
  <si>
    <t>Institui a política estadual de incentivo à produção e ao consumo de mandioca e seus derivados.</t>
  </si>
  <si>
    <t>Art. 14. Os preços de venda dos produtos adquiridos pelo Governo Estadual não poderão ser inferiores ao seu custo de remição, exceto nos casos em que a Lei Orçamentária tenha previsto a respectiva subvenção econômica e quando estes se destinarem ao suprimento da oferta de produtos  estratégicos de interesse público. 
IV - produtos de extrativismo vegetal.                                                                                                   
Art. 23. A agência financeira oficial de fomento do Estado, na concessão de financiamentos, observará as seguintes políticas:
II - defesa e preservação do meio-ambiente;</t>
  </si>
  <si>
    <r>
      <rPr>
        <i/>
        <u/>
        <sz val="8"/>
        <color rgb="FF1155CC"/>
        <rFont val="&quot;Work Sans&quot;, sans-serif"/>
      </rPr>
      <t>Lei nº 2.026, de 24/10/2008</t>
    </r>
    <r>
      <rPr>
        <i/>
        <sz val="8"/>
        <color rgb="FF222222"/>
        <rFont val="&quot;Work Sans&quot;, sans-serif"/>
      </rPr>
      <t>Publicada no DOE de 24/10/2008</t>
    </r>
  </si>
  <si>
    <t>Estima a Receita e fixa a Despesa do Estado para o exercício financeiro de 2022, e dá outras providências</t>
  </si>
  <si>
    <t>Lei nº 943, de 27/06/1990Publicada no DOE de 27/06/1990</t>
  </si>
  <si>
    <t>Autoriza o Poder Executivo Estadual a contratar operações de crédito junto ao Banco Internacional para Reconstrução e Desenvolvimento – BIRD e a abrir créditos adicionais para o Programa de Inclusão Social e Desenvolvimento Econômico Sustentável do Estado do Acre – PROACRE.</t>
  </si>
  <si>
    <r>
      <rPr>
        <i/>
        <u/>
        <sz val="8"/>
        <color rgb="FF1155CC"/>
        <rFont val="&quot;Work Sans&quot;, sans-serif"/>
      </rPr>
      <t>Lei nº 2.025, de 20/10/2008</t>
    </r>
    <r>
      <rPr>
        <i/>
        <sz val="8"/>
        <color rgb="FF222222"/>
        <rFont val="&quot;Work Sans&quot;, sans-serif"/>
      </rPr>
      <t>Publicada no DOE de 21/10/2008</t>
    </r>
  </si>
  <si>
    <t>SECRETARIA DE ESTADO DE PRODUÇÃO E AGRONEGÓCIO - SEPA</t>
  </si>
  <si>
    <t>Dispõe sobre as diretrizes orçamentárias para o ano de 1991 e dá outras providências.</t>
  </si>
  <si>
    <r>
      <rPr>
        <i/>
        <u/>
        <sz val="8"/>
        <color rgb="FF1155CC"/>
        <rFont val="&quot;Work Sans&quot;, sans-serif"/>
      </rPr>
      <t>Decreto nº 6.808, de 15/05/2017</t>
    </r>
    <r>
      <rPr>
        <i/>
        <sz val="8"/>
        <color rgb="FF222222"/>
        <rFont val="&quot;Work Sans&quot;, sans-serif"/>
      </rPr>
      <t>Publicado no DOE de 06/06/2017</t>
    </r>
  </si>
  <si>
    <t>Art. 18. Na fixação das despesas serão observadas as prioridades constantes do Anexo I desta Lei.
Parágrafo único. Na elaboração da proposta orçamentária o órgão central de orçamento ouvirá, através das Secretarias correspondentes, bem como os voltados à defesa do meio ambiente e à Ciência e Tecnologia. 
- promover o aumento da produção e a melhoria da qualidade dos alimentos básicos, hortifrutigranjeiros e extrativistas, por meio de uma adequada política de crédito, assistência técnica e extensão rural, fiscalização sanitária animal e vegetal, fornecimento de insumos modernos e garantia de escoamento, armazenamento e comercialização da produção; e</t>
  </si>
  <si>
    <t>Cria o Programa Estadual de Certificação de Unidades Produtivas Familiares do Estado do Acre.</t>
  </si>
  <si>
    <r>
      <rPr>
        <i/>
        <u/>
        <sz val="8"/>
        <color rgb="FF1155CC"/>
        <rFont val="&quot;Work Sans&quot;, sans-serif"/>
      </rPr>
      <t>Lei nº 2.024, de 20/10/2008</t>
    </r>
    <r>
      <rPr>
        <i/>
        <sz val="8"/>
        <color rgb="FF222222"/>
        <rFont val="&quot;Work Sans&quot;, sans-serif"/>
      </rPr>
      <t>Publicada no DOE de 21/10/2008</t>
    </r>
  </si>
  <si>
    <t>Cria a Unidade de Conservação Provisória – Floresta Estadual do Afluente do Complexo do Seringal Jurupari.</t>
  </si>
  <si>
    <t>Cria o Programa Estadual de Incentivo à Produção Florestal e Agroflorestal Familiar</t>
  </si>
  <si>
    <r>
      <rPr>
        <i/>
        <u/>
        <sz val="8"/>
        <color rgb="FF1155CC"/>
        <rFont val="&quot;Work Sans&quot;, sans-serif"/>
      </rPr>
      <t>Decreto nº 6.704, de 01/09/2020</t>
    </r>
    <r>
      <rPr>
        <i/>
        <sz val="8"/>
        <color rgb="FF222222"/>
        <rFont val="&quot;Work Sans&quot;, sans-serif"/>
      </rPr>
      <t>Publicado no DOE de 04/09/2020</t>
    </r>
  </si>
  <si>
    <r>
      <rPr>
        <i/>
        <u/>
        <sz val="8"/>
        <color rgb="FF1155CC"/>
        <rFont val="&quot;Work Sans&quot;, sans-serif"/>
      </rPr>
      <t>Lei nº 2.006, de 09/06/2008</t>
    </r>
    <r>
      <rPr>
        <i/>
        <sz val="8"/>
        <color rgb="FF222222"/>
        <rFont val="&quot;Work Sans&quot;, sans-serif"/>
      </rPr>
      <t>Publicada no DOE de 11/06/2008</t>
    </r>
  </si>
  <si>
    <t>Altera o art. 32 da Lei n. 1.904, de 5 de junho de 2007, que instituiu o Zoneamento Ecológico – Econômico do Estado do Acre – ZEE.</t>
  </si>
  <si>
    <t>Altera o Decreto nº 5.866, de 29 de abril de 2020, que “Dispõe sobre a criação do Comitê de Ações Integradas de Meio Ambiente e dá outras providências.”</t>
  </si>
  <si>
    <r>
      <rPr>
        <i/>
        <u/>
        <sz val="8"/>
        <color rgb="FF1155CC"/>
        <rFont val="&quot;Work Sans&quot;, sans-serif"/>
      </rPr>
      <t>Lei nº 1.966, de 04/12/2007</t>
    </r>
    <r>
      <rPr>
        <i/>
        <sz val="8"/>
        <color rgb="FF222222"/>
        <rFont val="&quot;Work Sans&quot;, sans-serif"/>
      </rPr>
      <t>Publicada no DOE de 05/12/2007</t>
    </r>
  </si>
  <si>
    <r>
      <rPr>
        <i/>
        <u/>
        <sz val="8"/>
        <color rgb="FF1155CC"/>
        <rFont val="&quot;Work Sans&quot;, sans-serif"/>
      </rPr>
      <t>Decreto nº 6.573, de 17/08/2020</t>
    </r>
    <r>
      <rPr>
        <i/>
        <sz val="8"/>
        <color rgb="FF222222"/>
        <rFont val="&quot;Work Sans&quot;, sans-serif"/>
      </rPr>
      <t>Publicado no DOE de 18/08/2020</t>
    </r>
  </si>
  <si>
    <t>Autoriza o Poder Executivo a contratar operações de crédito junto ao Banco Nacional de Desenvolvimento Econômico e Social - BNDES e a abrir créditos adicionais para o Programa Integrado de Desenvolvimento Sustentável do Estado do Acre - Fase III.</t>
  </si>
  <si>
    <r>
      <rPr>
        <i/>
        <u/>
        <sz val="8"/>
        <color rgb="FF1155CC"/>
        <rFont val="&quot;Work Sans&quot;, sans-serif"/>
      </rPr>
      <t>Lei nº 1.926, de 08/10/2007</t>
    </r>
    <r>
      <rPr>
        <i/>
        <sz val="8"/>
        <color rgb="FF222222"/>
        <rFont val="&quot;Work Sans&quot;, sans-serif"/>
      </rPr>
      <t>Publicada no DOE de 08/10/2007</t>
    </r>
  </si>
  <si>
    <t>Fica instituído Grupo de Trabalho para monitoramento, estudos e sugestões sobre os impactos da COVID-19 relacionados aos povos indígenas, no âmbito dos assuntos de competência do Estado.</t>
  </si>
  <si>
    <r>
      <rPr>
        <i/>
        <u/>
        <sz val="8"/>
        <color rgb="FF1155CC"/>
        <rFont val="&quot;Work Sans&quot;, sans-serif"/>
      </rPr>
      <t>Decreto nº 6.370, de 13/07/2020</t>
    </r>
    <r>
      <rPr>
        <i/>
        <sz val="8"/>
        <color rgb="FF222222"/>
        <rFont val="&quot;Work Sans&quot;, sans-serif"/>
      </rPr>
      <t>Publicado no DOE de 27/07/2020</t>
    </r>
  </si>
  <si>
    <t>Autoriza o Poder Executivo Estadual a doar bens móveis necessários ao apoio às comunidades indígenas.</t>
  </si>
  <si>
    <r>
      <rPr>
        <i/>
        <u/>
        <sz val="8"/>
        <color rgb="FF1155CC"/>
        <rFont val="&quot;Work Sans&quot;, sans-serif"/>
      </rPr>
      <t>Lei nº 1.904, de 05/06/2007</t>
    </r>
    <r>
      <rPr>
        <i/>
        <sz val="8"/>
        <color rgb="FF222222"/>
        <rFont val="&quot;Work Sans&quot;, sans-serif"/>
      </rPr>
      <t>Publicada no DOE de 15/06/2007</t>
    </r>
  </si>
  <si>
    <t>Estabelece a Estrutura Organizacional Básica do Instituto de Defesa Agropecuária e Florestal do Acre - IDAF.</t>
  </si>
  <si>
    <r>
      <rPr>
        <i/>
        <u/>
        <sz val="8"/>
        <color rgb="FF1155CC"/>
        <rFont val="&quot;Work Sans&quot;, sans-serif"/>
      </rPr>
      <t>Decreto nº 6.153, de 16/06/2020</t>
    </r>
    <r>
      <rPr>
        <i/>
        <sz val="8"/>
        <color rgb="FF222222"/>
        <rFont val="&quot;Work Sans&quot;, sans-serif"/>
      </rPr>
      <t>Publicado no DOE de 17/07/2020</t>
    </r>
  </si>
  <si>
    <t>Institui o zoneamento Ecológico – Econômico do Estado do Acre.</t>
  </si>
  <si>
    <r>
      <rPr>
        <i/>
        <u/>
        <sz val="8"/>
        <color rgb="FF1155CC"/>
        <rFont val="&quot;Work Sans&quot;, sans-serif"/>
      </rPr>
      <t>Lei nº 1.811, de 20/03/2007</t>
    </r>
    <r>
      <rPr>
        <i/>
        <sz val="8"/>
        <color rgb="FF222222"/>
        <rFont val="&quot;Work Sans&quot;, sans-serif"/>
      </rPr>
      <t>Publicada no DOE de 02/04/2007</t>
    </r>
  </si>
  <si>
    <t>Regulamenta a Lei nº 1.277, de 13 de janeiro de 1999, que instituiu a subvenção econômica aos produtores de borracha natural bruta do Estado do Acre.</t>
  </si>
  <si>
    <t>Dispõe sobre a política de incentivo ao uso da energia eólica.</t>
  </si>
  <si>
    <r>
      <rPr>
        <i/>
        <u/>
        <sz val="8"/>
        <color rgb="FF1155CC"/>
        <rFont val="&quot;Work Sans&quot;, sans-serif"/>
      </rPr>
      <t>Decreto nº 6.090, de 02/06/2020</t>
    </r>
    <r>
      <rPr>
        <i/>
        <sz val="8"/>
        <color rgb="FF222222"/>
        <rFont val="&quot;Work Sans&quot;, sans-serif"/>
      </rPr>
      <t>Publicado no DOE de 03/06/2020</t>
    </r>
  </si>
  <si>
    <r>
      <rPr>
        <i/>
        <u/>
        <sz val="8"/>
        <color rgb="FF1155CC"/>
        <rFont val="&quot;Work Sans&quot;, sans-serif"/>
      </rPr>
      <t>Lei nº 1.787, de 03/07/2006</t>
    </r>
    <r>
      <rPr>
        <i/>
        <sz val="8"/>
        <color rgb="FF222222"/>
        <rFont val="&quot;Work Sans&quot;, sans-serif"/>
      </rPr>
      <t>Publicada no DOE de 19/07/2006</t>
    </r>
  </si>
  <si>
    <t>Altera o Decreto nº 10.308, de 3 de dezembro de 2018, que “Estabelece a nova estrutura organizacional básica da Comissão Estadual de Validação e Acompanhamento – CEVA do Sistema Estadual de Incentivo a Serviços Ambientais - SISA para o biênio de 2018-2019.”</t>
  </si>
  <si>
    <r>
      <rPr>
        <i/>
        <u/>
        <sz val="8"/>
        <color rgb="FF1155CC"/>
        <rFont val="&quot;Work Sans&quot;, sans-serif"/>
      </rPr>
      <t>Decreto nº 6.086, de 02/06/2020</t>
    </r>
    <r>
      <rPr>
        <i/>
        <sz val="8"/>
        <color rgb="FF222222"/>
        <rFont val="&quot;Work Sans&quot;, sans-serif"/>
      </rPr>
      <t>Publicado no DOE de 03/06/2020</t>
    </r>
  </si>
  <si>
    <t>Altera o Decreto nº 5.866, de 29 de abril de 2020, que “Dispõe sobre a criação do Comitê de Ações Integradas de Meio Ambiente e dá outras providências</t>
  </si>
  <si>
    <t>Autoriza o Poder Executivo, através do Instituto de Terras do Acre – ITERACRE, a outorgar, sob condição resolutiva, concessão de direito real de uso nas áreas das Florestas Públicas Estaduais do Rio Gregório, do Rio Liberdade, do Mogno e do Antimary, para efeito de regularização fundiária.</t>
  </si>
  <si>
    <r>
      <rPr>
        <i/>
        <u/>
        <sz val="8"/>
        <color rgb="FF1155CC"/>
        <rFont val="&quot;Work Sans&quot;, sans-serif"/>
      </rPr>
      <t>Decreto nº 6.042, de 27/05/2020</t>
    </r>
    <r>
      <rPr>
        <i/>
        <sz val="8"/>
        <color rgb="FF222222"/>
        <rFont val="&quot;Work Sans&quot;, sans-serif"/>
      </rPr>
      <t>Publicado no DOE de 27/05/2020</t>
    </r>
  </si>
  <si>
    <r>
      <rPr>
        <i/>
        <u/>
        <sz val="8"/>
        <color rgb="FF1155CC"/>
        <rFont val="&quot;Work Sans&quot;, sans-serif"/>
      </rPr>
      <t>Lei nº 1.780, de 20/06/2006</t>
    </r>
    <r>
      <rPr>
        <i/>
        <sz val="8"/>
        <color rgb="FF222222"/>
        <rFont val="&quot;Work Sans&quot;, sans-serif"/>
      </rPr>
      <t>Publicada no DOE de 21/06/2006</t>
    </r>
  </si>
  <si>
    <t>Altera a Lei n. 1.460, de 3 de maio de 2006, que dispõe sobre o Programa de Apoio às Populações Tradicionais e Pequenos Produtores – PRÓ- FLORESTANIA.</t>
  </si>
  <si>
    <t>Lei nº 3.715, de 15/01/2021Publicada no DOE de 15/01/2021</t>
  </si>
  <si>
    <r>
      <rPr>
        <i/>
        <u/>
        <sz val="8"/>
        <color rgb="FF1155CC"/>
        <rFont val="&quot;Work Sans&quot;, sans-serif"/>
      </rPr>
      <t>Lei nº 1.779, de 20/06/2006</t>
    </r>
    <r>
      <rPr>
        <i/>
        <sz val="8"/>
        <color rgb="FF222222"/>
        <rFont val="&quot;Work Sans&quot;, sans-serif"/>
      </rPr>
      <t>Publicada no DOE de 21/06/2006</t>
    </r>
  </si>
  <si>
    <t>Altera o Decreto nº 5.625, de 27 de março de 2020, que “Estabelece a Estrutura Organizacional Básica do Instituto de Meio Ambiente do Acre - IMAC.</t>
  </si>
  <si>
    <r>
      <rPr>
        <i/>
        <u/>
        <sz val="8"/>
        <color rgb="FF1155CC"/>
        <rFont val="&quot;Work Sans&quot;, sans-serif"/>
      </rPr>
      <t>Decreto nº 5.944, de 13/05/2020</t>
    </r>
    <r>
      <rPr>
        <i/>
        <sz val="8"/>
        <color rgb="FF222222"/>
        <rFont val="&quot;Work Sans&quot;, sans-serif"/>
      </rPr>
      <t>Publicado no DOE de 15/05/2020</t>
    </r>
  </si>
  <si>
    <t>Institui Programa de Incentivos Tributários para Empresas do Setor Sucroalcooleiro instaladas no Pólo Agroindustrial de Capixaba.</t>
  </si>
  <si>
    <t>Estima a Receita e fixa a Despesa do Estado para o exercício financeiro de 2021, e dá outras providências.</t>
  </si>
  <si>
    <r>
      <rPr>
        <i/>
        <u/>
        <sz val="8"/>
        <color rgb="FF1155CC"/>
        <rFont val="&quot;Work Sans&quot;, sans-serif"/>
      </rPr>
      <t>Lei nº 1.698, de 16/01/2006</t>
    </r>
    <r>
      <rPr>
        <i/>
        <sz val="8"/>
        <color rgb="FF222222"/>
        <rFont val="&quot;Work Sans&quot;, sans-serif"/>
      </rPr>
      <t>Publicada no DOE de 20/01/2006</t>
    </r>
  </si>
  <si>
    <t>SECRETARIA DE ESTADO DE  MEIO  - AMBIENTE - SEMA</t>
  </si>
  <si>
    <r>
      <rPr>
        <i/>
        <u/>
        <sz val="8"/>
        <color rgb="FF1155CC"/>
        <rFont val="&quot;Work Sans&quot;, sans-serif"/>
      </rPr>
      <t>Decreto nº 5.866, de 29/04/2020</t>
    </r>
    <r>
      <rPr>
        <i/>
        <sz val="8"/>
        <color rgb="FF222222"/>
        <rFont val="&quot;Work Sans&quot;, sans-serif"/>
      </rPr>
      <t>Publicado no DOE de 30/04/2020</t>
    </r>
  </si>
  <si>
    <t>Altera e acresce parágrafos ao art. 107 da Lei n. 1.117, de 26 de janeiro de 1994, que dispõe sobre a Política Ambiental do Estado do Acre.</t>
  </si>
  <si>
    <r>
      <rPr>
        <i/>
        <u/>
        <sz val="8"/>
        <color rgb="FF1155CC"/>
        <rFont val="&quot;Work Sans&quot;, sans-serif"/>
      </rPr>
      <t>Lei nº 1.693, de 21/12/2005</t>
    </r>
    <r>
      <rPr>
        <i/>
        <sz val="8"/>
        <color rgb="FF222222"/>
        <rFont val="&quot;Work Sans&quot;, sans-serif"/>
      </rPr>
      <t>Publicada no DOE de 30/12/2005</t>
    </r>
  </si>
  <si>
    <t>Dispõe sobre a criação do Comitê de Ações Integradas de Meio Ambiente e dá outras providências.</t>
  </si>
  <si>
    <t>Cria o Programa de Pólos Agroflorestais e Quintais Agroflorestais – PQA e autoriza o Poder Executivo a outorgar, sob condição resolutiva, concessão de direito real de uso de terras rurais localizadas nos pólos agroflorestais, para implementação da Política de Desenvolvimento Sustentável do Estado do Acre.</t>
  </si>
  <si>
    <r>
      <rPr>
        <i/>
        <u/>
        <sz val="8"/>
        <color rgb="FF1155CC"/>
        <rFont val="&quot;Work Sans&quot;, sans-serif"/>
      </rPr>
      <t>Decreto nº 5.625, de 27/03/2020</t>
    </r>
    <r>
      <rPr>
        <i/>
        <sz val="8"/>
        <color rgb="FF222222"/>
        <rFont val="&quot;Work Sans&quot;, sans-serif"/>
      </rPr>
      <t>Publicado no DOE de 30/03/2020</t>
    </r>
  </si>
  <si>
    <t xml:space="preserve"> INSTITUTO DE MEIO AMBIENTE DO ACRE IMAC</t>
  </si>
  <si>
    <r>
      <rPr>
        <i/>
        <u/>
        <sz val="8"/>
        <color rgb="FF1155CC"/>
        <rFont val="&quot;Work Sans&quot;, sans-serif"/>
      </rPr>
      <t>Lei nº 1.656, de 09/08/2005</t>
    </r>
    <r>
      <rPr>
        <i/>
        <sz val="8"/>
        <color rgb="FF222222"/>
        <rFont val="&quot;Work Sans&quot;, sans-serif"/>
      </rPr>
      <t>Publicada no DOE de 15/08/2005</t>
    </r>
  </si>
  <si>
    <t>Estabelece a Estrutura Organizacional Básica do Instituto de Meio Ambiente do Acre – IMAC.</t>
  </si>
  <si>
    <t>Autoriza os Poderes Executivo, Legislativo e Judiciário do Estado do Acre a incluir, nos processos de aquisição e compras públicas, sistemas de certificação de produtos florestais, como instrumentos de padronização.</t>
  </si>
  <si>
    <r>
      <rPr>
        <i/>
        <u/>
        <sz val="8"/>
        <color rgb="FF1155CC"/>
        <rFont val="&quot;Work Sans&quot;, sans-serif"/>
      </rPr>
      <t>Decreto nº 5.507, de 15/07/2010</t>
    </r>
    <r>
      <rPr>
        <i/>
        <sz val="8"/>
        <color rgb="FF222222"/>
        <rFont val="&quot;Work Sans&quot;, sans-serif"/>
      </rPr>
      <t>Publicado no DOE de 16/07/2010</t>
    </r>
  </si>
  <si>
    <r>
      <rPr>
        <i/>
        <u/>
        <sz val="8"/>
        <color rgb="FF1155CC"/>
        <rFont val="&quot;Work Sans&quot;, sans-serif"/>
      </rPr>
      <t>Lei nº 1.643, de 28/04/2005</t>
    </r>
    <r>
      <rPr>
        <i/>
        <sz val="8"/>
        <color rgb="FF222222"/>
        <rFont val="&quot;Work Sans&quot;, sans-serif"/>
      </rPr>
      <t>Publicada no DOE de 05/05/2005</t>
    </r>
  </si>
  <si>
    <t>Altera dispositivos da Lei n. 1.022, de 21 de janeiro de 1992, que instituiu o Sistema Estadual de Meio Ambiente, Ciência e Tecnologia e o Conselho Estadual de Ciência, Tecnologia e Meio Ambiente.</t>
  </si>
  <si>
    <t>FUNDAÇÃO DE APOIO AO DESENVOLVIMEN- TO ECONÔMICO E SOCIAL DO ACRE FADES</t>
  </si>
  <si>
    <r>
      <rPr>
        <i/>
        <u/>
        <sz val="8"/>
        <color rgb="FF1155CC"/>
        <rFont val="&quot;Work Sans&quot;, sans-serif"/>
      </rPr>
      <t>Lei nº 1.636, de 30/03/2005</t>
    </r>
    <r>
      <rPr>
        <i/>
        <sz val="8"/>
        <color rgb="FF222222"/>
        <rFont val="&quot;Work Sans&quot;, sans-serif"/>
      </rPr>
      <t>Publicada no DOE de 31/03/2005</t>
    </r>
  </si>
  <si>
    <r>
      <rPr>
        <i/>
        <u/>
        <sz val="8"/>
        <color rgb="FF1155CC"/>
        <rFont val="&quot;Work Sans&quot;, sans-serif"/>
      </rPr>
      <t>Decreto nº 5.299, de 17/02/2020</t>
    </r>
    <r>
      <rPr>
        <i/>
        <sz val="8"/>
        <color rgb="FF222222"/>
        <rFont val="&quot;Work Sans&quot;, sans-serif"/>
      </rPr>
      <t>Publicado no DOE de 18/02/2020</t>
    </r>
  </si>
  <si>
    <t>Autoriza o Poder Executivo Estadual a implantar o Pólo Agroindustrial para a produção de açúcar e álcool.</t>
  </si>
  <si>
    <r>
      <rPr>
        <i/>
        <u/>
        <sz val="8"/>
        <color rgb="FF1155CC"/>
        <rFont val="&quot;Work Sans&quot;, sans-serif"/>
      </rPr>
      <t>Lei nº 1.611, de 29/12/2004</t>
    </r>
    <r>
      <rPr>
        <i/>
        <sz val="8"/>
        <color rgb="FF222222"/>
        <rFont val="&quot;Work Sans&quot;, sans-serif"/>
      </rPr>
      <t>Publicada no DOE de 07/03/2005</t>
    </r>
  </si>
  <si>
    <t>Estabelece a Estrutura Organizacional Básica da Secretaria de Estado de Produção e Agronegócio – SEPA.</t>
  </si>
  <si>
    <r>
      <rPr>
        <i/>
        <u/>
        <sz val="8"/>
        <color rgb="FF1155CC"/>
        <rFont val="&quot;Work Sans&quot;, sans-serif"/>
      </rPr>
      <t>Decreto nº 4.918, de 29/12/2009</t>
    </r>
    <r>
      <rPr>
        <i/>
        <sz val="8"/>
        <color rgb="FF222222"/>
        <rFont val="&quot;Work Sans&quot;, sans-serif"/>
      </rPr>
      <t>Publicado no DOE de 30/12/2009</t>
    </r>
  </si>
  <si>
    <t>Cria a Medalha de Mérito Ambientalista Chico Mendes.</t>
  </si>
  <si>
    <t>COMPANHIA DE DESENV. E SERVIÇOS AMBIENTAIS DO ESTADO ACRE - CDSA</t>
  </si>
  <si>
    <r>
      <rPr>
        <i/>
        <u/>
        <sz val="8"/>
        <color rgb="FF1155CC"/>
        <rFont val="&quot;Work Sans&quot;, sans-serif"/>
      </rPr>
      <t>Lei nº 1.591, de 27/08/2004</t>
    </r>
    <r>
      <rPr>
        <i/>
        <sz val="8"/>
        <color rgb="FF222222"/>
        <rFont val="&quot;Work Sans&quot;, sans-serif"/>
      </rPr>
      <t>Publicada no DOE de 30/08/2004</t>
    </r>
  </si>
  <si>
    <t>Regulamenta a Lei nº 1.530, de 22 de janeiro de 2004, o qual destina 5% (cinco por cento) do ICMS arrecadado pelo Estado aos municípios que conservem a biodiversidade e executem projetos de desenvolvimento sustentáveis, saúde e educação.</t>
  </si>
  <si>
    <t>FUNDO ESTADUAL DE COMANDO E CONTRO- LE AMBIENTAL</t>
  </si>
  <si>
    <r>
      <rPr>
        <i/>
        <u/>
        <sz val="8"/>
        <color rgb="FF1155CC"/>
        <rFont val="&quot;Work Sans&quot;, sans-serif"/>
      </rPr>
      <t>Decreto nº 4.749, de 04/12/2019</t>
    </r>
    <r>
      <rPr>
        <i/>
        <sz val="8"/>
        <color rgb="FF222222"/>
        <rFont val="&quot;Work Sans&quot;, sans-serif"/>
      </rPr>
      <t>Publicado no DOE de 06/12/2019</t>
    </r>
  </si>
  <si>
    <t>Institui a Comenda da Florestania Indígena Suero Kaxinawuá.</t>
  </si>
  <si>
    <r>
      <rPr>
        <i/>
        <u/>
        <sz val="8"/>
        <color rgb="FF1155CC"/>
        <rFont val="&quot;Work Sans&quot;, sans-serif"/>
      </rPr>
      <t>Lei nº 1.561, de 26/02/2004</t>
    </r>
    <r>
      <rPr>
        <i/>
        <sz val="8"/>
        <color rgb="FF222222"/>
        <rFont val="&quot;Work Sans&quot;, sans-serif"/>
      </rPr>
      <t>Publicada no DOE de 11/05/2004</t>
    </r>
  </si>
  <si>
    <r>
      <rPr>
        <i/>
        <u/>
        <sz val="8"/>
        <color rgb="FF1155CC"/>
        <rFont val="&quot;Work Sans&quot;, sans-serif"/>
      </rPr>
      <t>Decreto nº 4.665, de 13/11/2019</t>
    </r>
    <r>
      <rPr>
        <i/>
        <sz val="8"/>
        <color rgb="FF222222"/>
        <rFont val="&quot;Work Sans&quot;, sans-serif"/>
      </rPr>
      <t>Publicado no DOE de 19/11/2019</t>
    </r>
  </si>
  <si>
    <t>Institui Noções de Meio Ambiente, como conceito a ser ministrado na rede de ensino estadual, municipal e privada.</t>
  </si>
  <si>
    <r>
      <rPr>
        <i/>
        <u/>
        <sz val="8"/>
        <color rgb="FF1155CC"/>
        <rFont val="&quot;Work Sans&quot;, sans-serif"/>
      </rPr>
      <t>Lei nº 1.530, de 22/01/2004</t>
    </r>
    <r>
      <rPr>
        <i/>
        <sz val="8"/>
        <color rgb="FF222222"/>
        <rFont val="&quot;Work Sans&quot;, sans-serif"/>
      </rPr>
      <t>Publicada no DOE de 23/01/2004</t>
    </r>
  </si>
  <si>
    <t>Altera o Decreto nº 4.408, de 1º de outubro de 2019, que institui o Comitê Gestor de Mudanças Climáticas do Estado do Acre e nomeia os representantes dos órgãos.</t>
  </si>
  <si>
    <r>
      <rPr>
        <i/>
        <u/>
        <sz val="8"/>
        <color rgb="FF1155CC"/>
        <rFont val="&quot;Work Sans&quot;, sans-serif"/>
      </rPr>
      <t>Decreto nº 4.410, de 02/10/2019</t>
    </r>
    <r>
      <rPr>
        <i/>
        <sz val="8"/>
        <color rgb="FF222222"/>
        <rFont val="&quot;Work Sans&quot;, sans-serif"/>
      </rPr>
      <t>Publicado no DOE de 04/10/2019</t>
    </r>
  </si>
  <si>
    <t>Institui o ICMS verde, destinando 5% da arrecadação deste tributo para os municípios com unidades de conservação ambiental.</t>
  </si>
  <si>
    <r>
      <rPr>
        <i/>
        <u/>
        <sz val="8"/>
        <color rgb="FF1155CC"/>
        <rFont val="&quot;Work Sans&quot;, sans-serif"/>
      </rPr>
      <t>Lei nº 1.492, de 19/02/2003</t>
    </r>
    <r>
      <rPr>
        <i/>
        <sz val="8"/>
        <color rgb="FF222222"/>
        <rFont val="&quot;Work Sans&quot;, sans-serif"/>
      </rPr>
      <t>Publicada no DOE de 21/02/2003</t>
    </r>
  </si>
  <si>
    <t>Altera o Decreto nº 7.734, de 6 de junho de 2014 que “Regulamenta o Cadastro Ambiental Rural – CAR, no âmbito do Estado do Acre.”</t>
  </si>
  <si>
    <t>Cria o Conselho Estadual Indígena - CEI e o Fundo de Prevenção e Desenvolvimento dos Povos Indígenas do Acre e dá outras providências.</t>
  </si>
  <si>
    <r>
      <rPr>
        <i/>
        <u/>
        <sz val="8"/>
        <color rgb="FF1155CC"/>
        <rFont val="&quot;Work Sans&quot;, sans-serif"/>
      </rPr>
      <t>Decreto nº 4.408, de 01/10/2019</t>
    </r>
    <r>
      <rPr>
        <i/>
        <sz val="8"/>
        <color rgb="FF222222"/>
        <rFont val="&quot;Work Sans&quot;, sans-serif"/>
      </rPr>
      <t>Publicado no DOE de 03/10/2019</t>
    </r>
  </si>
  <si>
    <r>
      <rPr>
        <i/>
        <u/>
        <sz val="8"/>
        <color rgb="FF1155CC"/>
        <rFont val="&quot;Work Sans&quot;, sans-serif"/>
      </rPr>
      <t>Lei nº 1.460, de 03/05/2002</t>
    </r>
    <r>
      <rPr>
        <i/>
        <sz val="8"/>
        <color rgb="FF222222"/>
        <rFont val="&quot;Work Sans&quot;, sans-serif"/>
      </rPr>
      <t>Publicada no DOE de 06/05/2002</t>
    </r>
  </si>
  <si>
    <t>Institui o Comitê Gestor de Mudanças Climáticas do Estado do Acre e Nomeia os Representantes dos Órgãos.</t>
  </si>
  <si>
    <t>Institui o Programa de Apoio às populações tradicionais e pequenos produtores – Pró-Florestania e dá outras providências.</t>
  </si>
  <si>
    <r>
      <rPr>
        <i/>
        <u/>
        <sz val="8"/>
        <color rgb="FF1155CC"/>
        <rFont val="&quot;Work Sans&quot;, sans-serif"/>
      </rPr>
      <t>Decreto nº 4.154, de 23/09/2019</t>
    </r>
    <r>
      <rPr>
        <i/>
        <sz val="8"/>
        <color rgb="FF222222"/>
        <rFont val="&quot;Work Sans&quot;, sans-serif"/>
      </rPr>
      <t>Publicado no DOE de 24/09/2019</t>
    </r>
  </si>
  <si>
    <r>
      <rPr>
        <i/>
        <u/>
        <sz val="8"/>
        <color rgb="FF1155CC"/>
        <rFont val="&quot;Work Sans&quot;, sans-serif"/>
      </rPr>
      <t>Lei nº 1.426, de 27/12/2001</t>
    </r>
    <r>
      <rPr>
        <i/>
        <sz val="8"/>
        <color rgb="FF222222"/>
        <rFont val="&quot;Work Sans&quot;, sans-serif"/>
      </rPr>
      <t>Publicada no DOE de 01/01/2002</t>
    </r>
  </si>
  <si>
    <t>Lei nº 3.588, de 19/12/2019Publicada no DOE de 30/12/2019</t>
  </si>
  <si>
    <t>Dispõe sobre a preservação e conservação das florestas do Estado, institui o Sistema Estadual de Áreas Naturais Protegidas, cria o Conselho Florestal Estadual e o Fundo Estadual de Florestas e dá outras providências.</t>
  </si>
  <si>
    <r>
      <rPr>
        <i/>
        <u/>
        <sz val="8"/>
        <color rgb="FF1155CC"/>
        <rFont val="&quot;Work Sans&quot;, sans-serif"/>
      </rPr>
      <t>Decreto nº 4.060, de 17/09/2019</t>
    </r>
    <r>
      <rPr>
        <i/>
        <sz val="8"/>
        <color rgb="FF222222"/>
        <rFont val="&quot;Work Sans&quot;, sans-serif"/>
      </rPr>
      <t>Publicado no DOE de 20/09/2019</t>
    </r>
  </si>
  <si>
    <r>
      <rPr>
        <i/>
        <u/>
        <sz val="8"/>
        <color rgb="FF1155CC"/>
        <rFont val="&quot;Work Sans&quot;, sans-serif"/>
      </rPr>
      <t>Lei nº 1.420, de 18/12/2001</t>
    </r>
    <r>
      <rPr>
        <i/>
        <sz val="8"/>
        <color rgb="FF222222"/>
        <rFont val="&quot;Work Sans&quot;, sans-serif"/>
      </rPr>
      <t>Publicada no DOE de 20/12/2001</t>
    </r>
  </si>
  <si>
    <t>Estima a Receita e fixa a Despesa do Estado para o exercício financeiro de 2020, e dá outras providências.</t>
  </si>
  <si>
    <t>Secretaria de Estado de Meio Ambiente - SEMA</t>
  </si>
  <si>
    <r>
      <rPr>
        <i/>
        <u/>
        <sz val="8"/>
        <color rgb="FF1155CC"/>
        <rFont val="&quot;Work Sans&quot;, sans-serif"/>
      </rPr>
      <t>Decreto nº 4.024, de 11/09/2019</t>
    </r>
    <r>
      <rPr>
        <i/>
        <sz val="8"/>
        <color rgb="FF222222"/>
        <rFont val="&quot;Work Sans&quot;, sans-serif"/>
      </rPr>
      <t>Publicado no DOE de 12/09/2019</t>
    </r>
  </si>
  <si>
    <t>Autoriza o Poder Executivo a contratar operações de crédito e a abrir créditos adicionais para o programa de desenvolvimento sustentável do Estado do Acre, junto ao Banco Interamericano de Desenvolvimento – BID, e dá outras providências.</t>
  </si>
  <si>
    <r>
      <rPr>
        <i/>
        <u/>
        <sz val="8"/>
        <color rgb="FF1155CC"/>
        <rFont val="&quot;Work Sans&quot;, sans-serif"/>
      </rPr>
      <t>Lei nº 1.405, de 20/08/2001</t>
    </r>
    <r>
      <rPr>
        <i/>
        <sz val="8"/>
        <color rgb="FF222222"/>
        <rFont val="&quot;Work Sans&quot;, sans-serif"/>
      </rPr>
      <t>Publicada no DOE de 22/08/2001</t>
    </r>
  </si>
  <si>
    <t>Estabelece a Estrutura Organizacional Básica do Instituto de Mudanças Climáticas e Regulação de Serviços Ambientais – IMC.</t>
  </si>
  <si>
    <t>Secretaria de Estado de Produção e Agronegócio - SEPA</t>
  </si>
  <si>
    <t>Dispõe sobre a sinalização de locais de interesse ecológico.</t>
  </si>
  <si>
    <r>
      <rPr>
        <i/>
        <u/>
        <sz val="8"/>
        <color rgb="FF1155CC"/>
        <rFont val="&quot;Work Sans&quot;, sans-serif"/>
      </rPr>
      <t>Decreto nº 3.900, de 29/08/2019</t>
    </r>
    <r>
      <rPr>
        <i/>
        <sz val="8"/>
        <color rgb="FF222222"/>
        <rFont val="&quot;Work Sans&quot;, sans-serif"/>
      </rPr>
      <t>Publicado no DOE de 03/09/2019</t>
    </r>
  </si>
  <si>
    <r>
      <rPr>
        <i/>
        <u/>
        <sz val="8"/>
        <color rgb="FF1155CC"/>
        <rFont val="&quot;Work Sans&quot;, sans-serif"/>
      </rPr>
      <t>Lei nº 1.400, de 20/08/2001</t>
    </r>
    <r>
      <rPr>
        <i/>
        <sz val="8"/>
        <color rgb="FF222222"/>
        <rFont val="&quot;Work Sans&quot;, sans-serif"/>
      </rPr>
      <t>Publicada no DOE de 17/09/2001</t>
    </r>
  </si>
  <si>
    <t>Instituto de Meio Ambiente do Acre -  IMAC</t>
  </si>
  <si>
    <t>Estabelece a Estrutura Organizacional Básica do Instituto do Meio Ambiente do Acre – IMAC.</t>
  </si>
  <si>
    <t>Institui a Comenda da Florestania “Hélio Melo” e dá outras providências.</t>
  </si>
  <si>
    <r>
      <rPr>
        <i/>
        <u/>
        <sz val="8"/>
        <color rgb="FF1155CC"/>
        <rFont val="&quot;Work Sans&quot;, sans-serif"/>
      </rPr>
      <t>Lei nº 1.358, de 29/12/2000</t>
    </r>
    <r>
      <rPr>
        <i/>
        <sz val="8"/>
        <color rgb="FF222222"/>
        <rFont val="&quot;Work Sans&quot;, sans-serif"/>
      </rPr>
      <t>Publicada no DOE de 10/01/2001</t>
    </r>
  </si>
  <si>
    <r>
      <rPr>
        <i/>
        <u/>
        <sz val="8"/>
        <color rgb="FF1155CC"/>
        <rFont val="&quot;Work Sans&quot;, sans-serif"/>
      </rPr>
      <t>Decreto nº 3.899, de 29/08/2019</t>
    </r>
    <r>
      <rPr>
        <i/>
        <sz val="8"/>
        <color rgb="FF222222"/>
        <rFont val="&quot;Work Sans&quot;, sans-serif"/>
      </rPr>
      <t>Publicado no DOE de 03/09/2019</t>
    </r>
  </si>
  <si>
    <t>Instituto de Terras do Acre -  ITERACRE</t>
  </si>
  <si>
    <t>Instituto de Mudanças Climáticas e Regulação dos Serv. Ambientais - IMC</t>
  </si>
  <si>
    <t>Institui o Programa de Incentivo Tributário para Empresas, Cooperativas e Associações de Produtores dos Setores Industrial, Agroindustrial, Florestal, Industrial Extrativo Vegetal e Indústria Turística do Estado do Acre e dá outras providências.</t>
  </si>
  <si>
    <r>
      <rPr>
        <i/>
        <u/>
        <sz val="8"/>
        <color rgb="FF1155CC"/>
        <rFont val="&quot;Work Sans&quot;, sans-serif"/>
      </rPr>
      <t>Lei nº 1.308, de 24/12/1999</t>
    </r>
    <r>
      <rPr>
        <i/>
        <sz val="8"/>
        <color rgb="FF222222"/>
        <rFont val="&quot;Work Sans&quot;, sans-serif"/>
      </rPr>
      <t>Publicada no DOE de 28/12/1999</t>
    </r>
  </si>
  <si>
    <t>Fundação de Tecnologia do Acre -  FUNTAC</t>
  </si>
  <si>
    <t>Estabelece a Estrutura Organizacional Básica da Secretaria de Estado de Meio Ambiente – SEMA.</t>
  </si>
  <si>
    <t>Dispõe sobre a inspeção e fiscalização sanitária e industrial dos produtos de origem vegetal no Estado do Acre e dá outras providências.</t>
  </si>
  <si>
    <r>
      <rPr>
        <i/>
        <u/>
        <sz val="8"/>
        <color rgb="FF1155CC"/>
        <rFont val="&quot;Work Sans&quot;, sans-serif"/>
      </rPr>
      <t>Decreto nº 3.754, de 13/08/2019</t>
    </r>
    <r>
      <rPr>
        <i/>
        <sz val="8"/>
        <color rgb="FF222222"/>
        <rFont val="&quot;Work Sans&quot;, sans-serif"/>
      </rPr>
      <t>Publicado no DOE de 15/08/2019</t>
    </r>
  </si>
  <si>
    <r>
      <rPr>
        <i/>
        <u/>
        <sz val="8"/>
        <color rgb="FF1155CC"/>
        <rFont val="&quot;Work Sans&quot;, sans-serif"/>
      </rPr>
      <t>Lei nº 1.295, de 08/11/1999</t>
    </r>
    <r>
      <rPr>
        <i/>
        <sz val="8"/>
        <color rgb="FF222222"/>
        <rFont val="&quot;Work Sans&quot;, sans-serif"/>
      </rPr>
      <t>Publicada no DOE de 12/11/1999</t>
    </r>
  </si>
  <si>
    <t>Fundação de Apoio ao Desenvolvimento Econômico e Social do Acre - FADES</t>
  </si>
  <si>
    <t>Dispõe sobre a compra de produtos destinados à utilização da merenda escolar e dá outras providências.</t>
  </si>
  <si>
    <t>Companhia de Armazéns e Entrepostos do Acre - CAGEACRE</t>
  </si>
  <si>
    <t>Dispõe sobre os procedimentos administrativos para a realização de pesquisa de preços para a aquisição de bens e contratação de serviços no âmbito do Programa de Saneamento Ambiental e Inclusão Socioeconômica do Acre – PROSER e revoga o Decreto nº 7.854, de 9 de novembro de 2017.</t>
  </si>
  <si>
    <r>
      <rPr>
        <i/>
        <u/>
        <sz val="8"/>
        <color rgb="FF1155CC"/>
        <rFont val="&quot;Work Sans&quot;, sans-serif"/>
      </rPr>
      <t>Lei nº 1.289, de 07/07/1999</t>
    </r>
    <r>
      <rPr>
        <i/>
        <sz val="8"/>
        <color rgb="FF222222"/>
        <rFont val="&quot;Work Sans&quot;, sans-serif"/>
      </rPr>
      <t>Publicada no DOE de 13/07/1999</t>
    </r>
  </si>
  <si>
    <r>
      <rPr>
        <i/>
        <u/>
        <sz val="8"/>
        <color rgb="FF1155CC"/>
        <rFont val="&quot;Work Sans&quot;, sans-serif"/>
      </rPr>
      <t>Decreto nº 3.142, de 05/07/2019</t>
    </r>
    <r>
      <rPr>
        <i/>
        <sz val="8"/>
        <color rgb="FF222222"/>
        <rFont val="&quot;Work Sans&quot;, sans-serif"/>
      </rPr>
      <t>Publicado no DOE de 08/07/2019</t>
    </r>
  </si>
  <si>
    <t>Empresa de Assistência Técnica e Extensão Rural do Acre - EMATER/AC</t>
  </si>
  <si>
    <t>Dispõe sobre a inspeção e fiscalização sanitária e industrial dos produtos de origem animal no Estado do Acre e dá outras providências.</t>
  </si>
  <si>
    <r>
      <rPr>
        <i/>
        <u/>
        <sz val="8"/>
        <color rgb="FF1155CC"/>
        <rFont val="&quot;Work Sans&quot;, sans-serif"/>
      </rPr>
      <t>Lei nº 1.277, de 13/01/1999</t>
    </r>
    <r>
      <rPr>
        <i/>
        <sz val="8"/>
        <color rgb="FF222222"/>
        <rFont val="&quot;Work Sans&quot;, sans-serif"/>
      </rPr>
      <t>Publicada no DOE de 13/01/1999</t>
    </r>
  </si>
  <si>
    <r>
      <rPr>
        <i/>
        <u/>
        <sz val="8"/>
        <color rgb="FF1155CC"/>
        <rFont val="&quot;Work Sans&quot;, sans-serif"/>
      </rPr>
      <t>Decreto nº 1.579, de 29/03/2019</t>
    </r>
    <r>
      <rPr>
        <i/>
        <sz val="8"/>
        <color rgb="FF222222"/>
        <rFont val="&quot;Work Sans&quot;, sans-serif"/>
      </rPr>
      <t>Publicado no DOE de 05/04/2019</t>
    </r>
  </si>
  <si>
    <t>Companhia de Desenv. e Serviços Ambientais do Estado Acre - CDSA</t>
  </si>
  <si>
    <t>Dispõe sobre concessão de subvenção econômica aos produtores de borracha natural bruta do Estado do Acre e dá outras providências.</t>
  </si>
  <si>
    <t>Fundo Especial do Meio Ambiente do Estado do Acre - FEMAC</t>
  </si>
  <si>
    <r>
      <rPr>
        <i/>
        <u/>
        <sz val="8"/>
        <color rgb="FF1155CC"/>
        <rFont val="&quot;Work Sans&quot;, sans-serif"/>
      </rPr>
      <t>Lei nº 1.116, de 13/01/1994</t>
    </r>
    <r>
      <rPr>
        <i/>
        <sz val="8"/>
        <color rgb="FF222222"/>
        <rFont val="&quot;Work Sans&quot;, sans-serif"/>
      </rPr>
      <t>Publicada no DOE de 17/01/1994</t>
    </r>
  </si>
  <si>
    <r>
      <rPr>
        <i/>
        <u/>
        <sz val="8"/>
        <color rgb="FF1155CC"/>
        <rFont val="&quot;Work Sans&quot;, sans-serif"/>
      </rPr>
      <t>Decreto nº 7.734, de 06/06/2014</t>
    </r>
    <r>
      <rPr>
        <i/>
        <sz val="8"/>
        <color rgb="FF222222"/>
        <rFont val="&quot;Work Sans&quot;, sans-serif"/>
      </rPr>
      <t>Publicado no DOE de 09/06/2014</t>
    </r>
  </si>
  <si>
    <t>Fundo Agropecuário - FUNAGRO</t>
  </si>
  <si>
    <t>Dispõe sobre produção, armazenamento, comercialização, transporte, consumo, uso, controle, inspeção, fiscalização e destino final de agrotóxicos, seus componentes e afins no Estado do Acre, e dá outras providências</t>
  </si>
  <si>
    <r>
      <rPr>
        <i/>
        <u/>
        <sz val="8"/>
        <color rgb="FF1155CC"/>
        <rFont val="&quot;Work Sans&quot;, sans-serif"/>
      </rPr>
      <t>Lei nº 1.117, de 26/01/1994</t>
    </r>
    <r>
      <rPr>
        <i/>
        <sz val="8"/>
        <color rgb="FF222222"/>
        <rFont val="&quot;Work Sans&quot;, sans-serif"/>
      </rPr>
      <t>Publicada no DOE de 23/02/1994</t>
    </r>
  </si>
  <si>
    <t>Fundo de Desenvolvimento Sustentável - FDS</t>
  </si>
  <si>
    <t>Regulamenta o Cadastro Ambiental Rural – CAR, no âmbito do Estado do Acre.</t>
  </si>
  <si>
    <r>
      <rPr>
        <i/>
        <u/>
        <sz val="8"/>
        <color rgb="FF1155CC"/>
        <rFont val="&quot;Work Sans&quot;, sans-serif"/>
      </rPr>
      <t>Decreto nº 5.988, de 27/06/2013</t>
    </r>
    <r>
      <rPr>
        <i/>
        <sz val="8"/>
        <color rgb="FF222222"/>
        <rFont val="&quot;Work Sans&quot;, sans-serif"/>
      </rPr>
      <t>Publicado no DOE de 28/06/2013</t>
    </r>
  </si>
  <si>
    <t>Dispõe sobre a política ambiental do Estado do Acre, e dá outras providências.</t>
  </si>
  <si>
    <t>Fundo Estadual de Floresta - FEF</t>
  </si>
  <si>
    <r>
      <rPr>
        <i/>
        <u/>
        <sz val="8"/>
        <color rgb="FF1155CC"/>
        <rFont val="&quot;Work Sans&quot;, sans-serif"/>
      </rPr>
      <t>Lei nº 1.116, de 13/01/1994</t>
    </r>
    <r>
      <rPr>
        <i/>
        <sz val="8"/>
        <color rgb="FF222222"/>
        <rFont val="&quot;Work Sans&quot;, sans-serif"/>
      </rPr>
      <t>Publicada no DOE de 17/01/1994</t>
    </r>
  </si>
  <si>
    <t>Dispõe sobre produção, armazenamento, comercialização, transporte, consumo, uso, controle, inspeção, fiscalização e destino final de agrotóxicos, seus componentes e afins no Estado do Acre, e dá outras providências.</t>
  </si>
  <si>
    <t>Cria o Comitê Consultivo do Programa (CCP) no âmbito da Secretaria de Estado de Planejamento – SEPLAN, referente ao Programa de Desenvolvimento Sustentável do Estado do Acre – PDSA – Fase II do Projeto BR-L 1289 firmado entre o Governo do Estado do Acre e o Banco Interamericano de Desenvolvimento – BID.</t>
  </si>
  <si>
    <r>
      <rPr>
        <i/>
        <u/>
        <sz val="8"/>
        <color rgb="FF1155CC"/>
        <rFont val="&quot;Work Sans&quot;, sans-serif"/>
      </rPr>
      <t>Lei nº 1.022, de 21/01/1992</t>
    </r>
    <r>
      <rPr>
        <i/>
        <sz val="8"/>
        <color rgb="FF222222"/>
        <rFont val="&quot;Work Sans&quot;, sans-serif"/>
      </rPr>
      <t>Publicada no DOE de 21/01/1992</t>
    </r>
  </si>
  <si>
    <t>Fundo de Preservação e Desenv. dos Povos Indígenas do Acre - FPDPI/AC</t>
  </si>
  <si>
    <r>
      <rPr>
        <i/>
        <u/>
        <sz val="8"/>
        <color rgb="FF1155CC"/>
        <rFont val="&quot;Work Sans&quot;, sans-serif"/>
      </rPr>
      <t>Decreto nº 4.359, de 07/11/2001</t>
    </r>
    <r>
      <rPr>
        <i/>
        <sz val="8"/>
        <color rgb="FF222222"/>
        <rFont val="&quot;Work Sans&quot;, sans-serif"/>
      </rPr>
      <t>Publicado no DOE de 12/11/2001</t>
    </r>
  </si>
  <si>
    <t>Institui o Sistema Estadual de Meio Ambiente e Floresta - SISMAF e dá outras providências.</t>
  </si>
  <si>
    <t>https://legis.ac.gov.br/detalhar_constituicao/0 03 de outubro de 1989</t>
  </si>
  <si>
    <t>CONSTITUIÇÃO DO ESTADO DO ACRE - compilado</t>
  </si>
  <si>
    <t>Define os produtos da Cesta Básica, de que trata o Convênio 128/94, de 20 de outubro de 1994 e dá outras providências.</t>
  </si>
  <si>
    <r>
      <rPr>
        <i/>
        <u/>
        <sz val="8"/>
        <color rgb="FF1155CC"/>
        <rFont val="&quot;Work Sans&quot;, sans-serif"/>
      </rPr>
      <t>Lei nº 725, de 13/12/1980</t>
    </r>
    <r>
      <rPr>
        <i/>
        <sz val="8"/>
        <color rgb="FF222222"/>
        <rFont val="&quot;Work Sans&quot;, sans-serif"/>
      </rPr>
      <t>Publicada no DOE de 24/12/1980</t>
    </r>
  </si>
  <si>
    <r>
      <rPr>
        <i/>
        <u/>
        <sz val="8"/>
        <color rgb="FF1155CC"/>
        <rFont val="&quot;Work Sans&quot;, sans-serif"/>
      </rPr>
      <t>Decreto nº 645, de 03/05/1999</t>
    </r>
    <r>
      <rPr>
        <i/>
        <sz val="8"/>
        <color rgb="FF222222"/>
        <rFont val="&quot;Work Sans&quot;, sans-serif"/>
      </rPr>
      <t>Publicado no DOE de 03/05/1999</t>
    </r>
  </si>
  <si>
    <t>Lei nº 3.470, de 28/12/2018Publicada no DOE de 31/12/2018</t>
  </si>
  <si>
    <t>Institui o Fundo Agropecuário Estadual - FUNAGRO, e dá outras providências.</t>
  </si>
  <si>
    <t>Regulamenta a Lei n° 1.277, de 13 de janeiro de 1999, que estabelece a subvenção econômica aos produtores de borracha natural bruta.</t>
  </si>
  <si>
    <r>
      <rPr>
        <i/>
        <u/>
        <sz val="8"/>
        <color rgb="FF1155CC"/>
        <rFont val="&quot;Work Sans&quot;, sans-serif"/>
      </rPr>
      <t>Lei nº 683, de 28/09/1979</t>
    </r>
    <r>
      <rPr>
        <i/>
        <sz val="8"/>
        <color rgb="FF222222"/>
        <rFont val="&quot;Work Sans&quot;, sans-serif"/>
      </rPr>
      <t>Publicada no DOE de 10/09/1980</t>
    </r>
  </si>
  <si>
    <r>
      <rPr>
        <i/>
        <u/>
        <sz val="8"/>
        <color rgb="FF1155CC"/>
        <rFont val="&quot;Work Sans&quot;, sans-serif"/>
      </rPr>
      <t>Decreto nº 789, de 11/06/1999</t>
    </r>
    <r>
      <rPr>
        <i/>
        <sz val="8"/>
        <color rgb="FF222222"/>
        <rFont val="&quot;Work Sans&quot;, sans-serif"/>
      </rPr>
      <t>Publicado no DOE de 24/06/1999</t>
    </r>
  </si>
  <si>
    <t>Concede incentivo fiscal a empresas industriais e agroindustriais consideradas essenciais ao desenvolvimento econômico do Estado.</t>
  </si>
  <si>
    <t>Estima a Receita e fixa a Despesa do Estado para o exercício financeiro de 2019, e dá outras providências.</t>
  </si>
  <si>
    <r>
      <rPr>
        <i/>
        <u/>
        <sz val="8"/>
        <color rgb="FF1155CC"/>
        <rFont val="&quot;Work Sans&quot;, sans-serif"/>
      </rPr>
      <t>Lei nº 527, de 24/04/1974</t>
    </r>
    <r>
      <rPr>
        <i/>
        <sz val="8"/>
        <color rgb="FF222222"/>
        <rFont val="&quot;Work Sans&quot;, sans-serif"/>
      </rPr>
      <t>Publicada no DOE de 24/04/1974</t>
    </r>
  </si>
  <si>
    <t>Fundação de Apoio ao Desenvolvimento Econômico e Social do Estado do Acre – FADES</t>
  </si>
  <si>
    <t>Reduz a base de cálculo do ICMS nas operações internas de circulação dos produtos agrícolas de produção própria.</t>
  </si>
  <si>
    <r>
      <rPr>
        <i/>
        <u/>
        <sz val="8"/>
        <color rgb="FF1155CC"/>
        <rFont val="&quot;Work Sans&quot;, sans-serif"/>
      </rPr>
      <t>Decreto nº 921, de 03/12/1998</t>
    </r>
    <r>
      <rPr>
        <i/>
        <sz val="8"/>
        <color rgb="FF222222"/>
        <rFont val="&quot;Work Sans&quot;, sans-serif"/>
      </rPr>
      <t>Publicado no DOE de 03/12/1998</t>
    </r>
  </si>
  <si>
    <t>Estabelece critérios e normas relativas ao recolhimento do Imposto sobre Circulação de Mercadorias relativo aos produtos agrícolas, pastoris e extrativos e dá outras providências.</t>
  </si>
  <si>
    <r>
      <rPr>
        <i/>
        <u/>
        <sz val="8"/>
        <color rgb="FF1155CC"/>
        <rFont val="&quot;Work Sans&quot;, sans-serif"/>
      </rPr>
      <t>Lei nº 479, de 14/08/1972</t>
    </r>
    <r>
      <rPr>
        <i/>
        <sz val="8"/>
        <color rgb="FF222222"/>
        <rFont val="&quot;Work Sans&quot;, sans-serif"/>
      </rPr>
      <t>Publicada no DOE de 21/08/1972</t>
    </r>
  </si>
  <si>
    <t>Incorpora à Legislação Tributária do Estado do Acre o Convênio ICMS nºs 100/97, que concede benefícios fiscais nas operações com insumos agropecuários e dá outras providências.</t>
  </si>
  <si>
    <t>Secretaria de Estado de Meio Ambiente – SEMA</t>
  </si>
  <si>
    <t>Autoriza o Executivo a alienar terras públicas do Estado, para efeito de colonização e aproveitamento agropecuário, e dá outras providências.</t>
  </si>
  <si>
    <r>
      <rPr>
        <i/>
        <u/>
        <sz val="8"/>
        <color rgb="FF1155CC"/>
        <rFont val="&quot;Work Sans&quot;, sans-serif"/>
      </rPr>
      <t>Lei nº 437, de 04/06/1971</t>
    </r>
    <r>
      <rPr>
        <i/>
        <sz val="8"/>
        <color rgb="FF222222"/>
        <rFont val="&quot;Work Sans&quot;, sans-serif"/>
      </rPr>
      <t>Publicada no DOE de 08/06/1971</t>
    </r>
  </si>
  <si>
    <t>Sequência numérica difere da sequência dos anos</t>
  </si>
  <si>
    <t xml:space="preserve"> Instituto de Meio Ambiente do Acre – IMAC</t>
  </si>
  <si>
    <t>Altera a Lei n. 51, de 7 de dezembro de 1965, que criou o Fundo de Expansão Agropecuário do Estado do Acre.</t>
  </si>
  <si>
    <t>Instituto de Terras do Acre - ITERACRE</t>
  </si>
  <si>
    <r>
      <rPr>
        <i/>
        <u/>
        <sz val="8"/>
        <color rgb="FF1155CC"/>
        <rFont val="&quot;Work Sans&quot;, sans-serif"/>
      </rPr>
      <t>Lei nº 183, de 02/07/1968</t>
    </r>
    <r>
      <rPr>
        <i/>
        <sz val="8"/>
        <color rgb="FF222222"/>
        <rFont val="&quot;Work Sans&quot;, sans-serif"/>
      </rPr>
      <t>Publicada no DOE de 12/07/1968</t>
    </r>
  </si>
  <si>
    <t>Instituto de Mudanças Climáticas e Regulação de Serviços Ambientais</t>
  </si>
  <si>
    <t>Companhia de Desenvolvimento e Serviços Ambientais</t>
  </si>
  <si>
    <t>Cria o Ginásio Agrotécnico do Acre e dá outras providências.</t>
  </si>
  <si>
    <t>Secretaria de Estado de Agropecuária – SEAP</t>
  </si>
  <si>
    <r>
      <rPr>
        <i/>
        <u/>
        <sz val="8"/>
        <color rgb="FF1155CC"/>
        <rFont val="&quot;Work Sans&quot;, sans-serif"/>
      </rPr>
      <t>Lei nº 51, de 07/12/1965</t>
    </r>
    <r>
      <rPr>
        <i/>
        <sz val="8"/>
        <color rgb="FF222222"/>
        <rFont val="&quot;Work Sans&quot;, sans-serif"/>
      </rPr>
      <t>Publicada no DOE de 11/12/1965</t>
    </r>
  </si>
  <si>
    <t>Secretaria de Estado de Desenvolvimento Florestal,da     Indústria, do Comércio e dos     Serviços Sustentáveis – SEDENS</t>
  </si>
  <si>
    <t>Cria o Fundo de Expansão Agropecuária do Estado do Acre e dá outras providências.</t>
  </si>
  <si>
    <t>Secretaria de Estado de Extensão Agro-Florestal e Produção Familiar – SEAPROF</t>
  </si>
  <si>
    <t xml:space="preserve"> Companhia de Armazéns e Entrepostos do Acre - CAGEACRE</t>
  </si>
  <si>
    <t>Empresa de Assistência Técnica e Extensão Rural do Acre - EMATER</t>
  </si>
  <si>
    <t>Fundação de Tecnologia do Acre - FUNTAC</t>
  </si>
  <si>
    <t>Lei nº 3.370, de 28/12/2017Publicada no DOE de 29/12/2017</t>
  </si>
  <si>
    <t>Estima a Receita e fixa a Despesa do Estado para o exercício financeiro de 2018, e dá outras providências.</t>
  </si>
  <si>
    <t>Lei nº 3.205, de 21/12/2016Publicada no DOE de 29/12/2016</t>
  </si>
  <si>
    <t>Estima a Receita e fixa a Despesa do Estado para o exercício financeiro de 2017.</t>
  </si>
  <si>
    <t>Lei nº 3.098, de 29/12/2015Publicada no DOE de 31/12/2015</t>
  </si>
  <si>
    <t>Dispõe sobre a Lei Orçamentária Anual – LOA, exercício de 2016, em cumprimento aos arts. 150, 158 e 159, todos da Constituição Estadual.</t>
  </si>
  <si>
    <t>Instituto de Meio Ambiente do Acre - IMAC</t>
  </si>
  <si>
    <t>Fundação de Apoio ao Desenvolvimento Econômico e Social do Estado do Acre - FADES</t>
  </si>
  <si>
    <t>Lei nº 2.882, de 10/10/2014Publicada no DOE de 12/12/2014</t>
  </si>
  <si>
    <t>Estima a Receita e fixa a Despesa do Estado para o exercício financeiro de 2015, e dá outras providências.</t>
  </si>
  <si>
    <t>Secretaria de Estado de Agropecuária - SEAP</t>
  </si>
  <si>
    <t xml:space="preserve"> Instituto de Mudanças Climáticas e Regulação de Serviços Ambientais</t>
  </si>
  <si>
    <t>Lei nº 2.831, de 27/12/2013Publicada no DOE de 30/12/2013</t>
  </si>
  <si>
    <t>Estima a Receita e fixa a Despesa do Estado para o exercício financeiro de 2014 e dá outras providências.</t>
  </si>
  <si>
    <t xml:space="preserve"> Fundação de Apoio ao Desenvolvimento Econômico e Social do Estado do Acre - FADES</t>
  </si>
  <si>
    <t>Lei nº 2.678, de 27/12/2012Publicada no DOE de 28/12/2012</t>
  </si>
  <si>
    <t>Estima a Receita e fixa a Despesa do Estado para o exercício financeiro de 2013, e dá outras providências.</t>
  </si>
  <si>
    <t>Lei nº 2.523, de 20/12/2011Publicada no DOE de 29/12/2011</t>
  </si>
  <si>
    <t>Estima a Receita e fixa a Despesa do Estado para o exercício financeiro de 2012, e dá outras providências.</t>
  </si>
  <si>
    <t>720 - 202</t>
  </si>
  <si>
    <t>Instituto de Mudanças Climáticas e Regulação de Serviços Ambientais </t>
  </si>
  <si>
    <t>Secretaria de Estado de Floresta – SEF</t>
  </si>
  <si>
    <t>Secretaria de Estado de Desenvolvimento Econômico, Indústria, Comércio, Serviços, Ciência e Tecnologia – SEDICT </t>
  </si>
  <si>
    <t xml:space="preserve"> Fundação de Apoio ao Desenvolvimento Econômico e Social do Acre - FADES</t>
  </si>
  <si>
    <t>Secretaria de Estado de Extensão Agroflorestal e Produção Familiar – SEAPROF</t>
  </si>
  <si>
    <t>Lei nº 2.412, de 30/12/2010Publicada no DOE de 31/12/2010</t>
  </si>
  <si>
    <t>Estima a Receita e fixa a Despesa do Estado do Acre para o exercício financeiro de 2011.</t>
  </si>
  <si>
    <t>Secretaria de Estado de Desenvolvimento, Ciência e Tecnologia - SDCT</t>
  </si>
  <si>
    <t>Lei nº 2.253, de 21/12/2009Publicada no DOE de 30/12/2009</t>
  </si>
  <si>
    <t>Estima a Receita e fixa a Despesa do Estado para o exercício financeiro de 2010, e dá outras providências.</t>
  </si>
  <si>
    <t>Secretaria de Estado de Extensão Agro-Florestal e Produção Familiar - SEAPROF</t>
  </si>
  <si>
    <t>Lei nº 2.093, de 11/12/2008Publicada no DOE de 11/12/2008</t>
  </si>
  <si>
    <t>Estima a Receita e fixa a Despesa do Estado para o exercício financeiro de 2009, e dá outras providências.</t>
  </si>
  <si>
    <t>Secretaria de Estado de Meio Ambiente</t>
  </si>
  <si>
    <t>720-202</t>
  </si>
  <si>
    <t>IMAC</t>
  </si>
  <si>
    <t>ITERACRE</t>
  </si>
  <si>
    <t>Secretaria de Estado de Floresta</t>
  </si>
  <si>
    <t>Secretaria de Estado de Agropecuária </t>
  </si>
  <si>
    <t>Secretaria de Estado de Desenvolvimento, Ciênciae Tecnologia</t>
  </si>
  <si>
    <t>752-301</t>
  </si>
  <si>
    <t xml:space="preserve"> FUNTAC</t>
  </si>
  <si>
    <t>Secretaria de Estado de Extensão Agro-Florestal e Produção Familiar</t>
  </si>
  <si>
    <t>753-401</t>
  </si>
  <si>
    <t>CAGEACRE</t>
  </si>
  <si>
    <t>753-402</t>
  </si>
  <si>
    <t>EMATER</t>
  </si>
  <si>
    <t>Lei nº 1.971, de 27/12/2007Publicada no DOE de 28/12/2007</t>
  </si>
  <si>
    <t>Estima a Receita e fixa a Despesa do Estado do Acre para o exercício financeiro de 2008 e dá outras providências.</t>
  </si>
  <si>
    <t>Secretaria de Estado de Agropecuária</t>
  </si>
  <si>
    <t>Secretaria de Estado de Desenvolvimento, Ciência e Tecnologia</t>
  </si>
  <si>
    <t>Secretaria de Estado de Extensão Agroflorestal e Produção Familiar</t>
  </si>
  <si>
    <t>Fundo Especial do Meio Ambiente – FEMAC</t>
  </si>
  <si>
    <t>Fundação de Tecnologia do Acre – FUNTAC</t>
  </si>
  <si>
    <t>Companhia de Armazenamento Gerais e Entrepostos do Acre – CAGEACRE</t>
  </si>
  <si>
    <t>Empresa de Assistência Técnica e Extensão Rural – EMATER</t>
  </si>
  <si>
    <t>Lei nº 1.804, de 26/12/2006Publicada no DOE de 29/12/2006</t>
  </si>
  <si>
    <t>Estima a Receita, fixa a Despesa do Estado para o exercício financeiro de 2007 e dá outras providências.</t>
  </si>
  <si>
    <t>Secretaria de Meio Ambiente e Recursos Naturais</t>
  </si>
  <si>
    <t>Secretaria de Floresta</t>
  </si>
  <si>
    <t>Secretaria de Extrativismo e Produção Familiar</t>
  </si>
  <si>
    <t>Secretaria de Agropecuária</t>
  </si>
  <si>
    <t>Secretaria de Assistência Técnica e Extensão Rural Agroflorestal</t>
  </si>
  <si>
    <t>Secretaria Extraordinária dos Povos Indígenas</t>
  </si>
  <si>
    <t>Fundo Especial do Meio Ambiente - FEMAC</t>
  </si>
  <si>
    <t>Companhia de Armazenamento Gerais e Entrepostos do Acre - CAGEACRE</t>
  </si>
  <si>
    <t>Empresa de Assistência Técnica e Extensão Rural - EMATER</t>
  </si>
  <si>
    <t>Lei nº 1.690, de 21/12/2005Publicada no DOE de 28/12/2005</t>
  </si>
  <si>
    <t>Estima a receita e fixa a despesa do Estado para o exercício financeiro de 2006 e dá outras providências.</t>
  </si>
  <si>
    <t>Lei nº 1.593, de 27/10/2004Publicada no DOE de 30/12/2004</t>
  </si>
  <si>
    <t>Estima a Receita, fixa a Despesa do Estado para o exercício financeiro de 2005 e dá outras providências.</t>
  </si>
  <si>
    <t>Secretaria de Assistencia Técnica e Extensão Rural Agroflorestal</t>
  </si>
  <si>
    <t>Secretaria Extraordinária dos Povos Indigenas</t>
  </si>
  <si>
    <t>Fundo de Desenvolvimento Sustentável</t>
  </si>
  <si>
    <t>Companhia de Armazenamento Gerais e Entrepostos do     Acre – CAGEACRE</t>
  </si>
  <si>
    <t>Lei nº 1.522, de 26/12/2003Publicada no DOE de 31/12/2003</t>
  </si>
  <si>
    <t>Estima a Receita e fixa a Despesa do Estado para o exercício financeiro de 2004 e dá outras providências.</t>
  </si>
  <si>
    <t>Empresa de Assistencia Técnica e Extensão Rural - EMATER</t>
  </si>
  <si>
    <t>Lei nº 1.470, de 27/12/2002Publicada no DOE de 30/12/2002</t>
  </si>
  <si>
    <t>Estima a Receita, fixa a Despesa do Estado para o exercício financeiro de 2003 e dá outras providências.</t>
  </si>
  <si>
    <t>Secretaria de Estado de Produção</t>
  </si>
  <si>
    <t>Secretaria de Estado de Ciência,Tec. e Meio Ambiente</t>
  </si>
  <si>
    <t>Inst. de Meio Ambiente do Acre – IMAC/FEMAC</t>
  </si>
  <si>
    <t>Fundação de Tecnologia do Estado do Acre – FUNTAC</t>
  </si>
  <si>
    <t>Comp. de Arm. Ger. e Entrep. do Acre- CAGEACRE</t>
  </si>
  <si>
    <t>Empresa de Assist. Téc. e Ext. Rural – EMATER-ACRE</t>
  </si>
  <si>
    <t>Lei nº 1.425, de 27/12/2001Publicada no DOE de 31/12/2001</t>
  </si>
  <si>
    <t>Estima a Receita, fixa a Despesa do Estado para o exercício financeiro de 2002 e dá outras providências.</t>
  </si>
  <si>
    <t>Secretaria de Estado de Produção   </t>
  </si>
  <si>
    <t>Secretaria de Estado de Ciência, Tecnologia e Meio Ambiente   </t>
  </si>
  <si>
    <t xml:space="preserve">Instituto de Meio Ambiente do Acre – IMAC/FEMAC  </t>
  </si>
  <si>
    <t>Fundação de Tecnologia do Estado do Acre – FUNTAC     </t>
  </si>
  <si>
    <t>ompanhia de Arm. Ger. e Entrep. do Acre – CAGEACRE       </t>
  </si>
  <si>
    <t>Empresa de Assist. Téc. e Ext. Rural – EMATER-Acre</t>
  </si>
  <si>
    <t>Lei nº 1.347, de 27/12/2000Publicada no DOE de 29/12/2000</t>
  </si>
  <si>
    <t>Estima a Receita, fixa a Despesa do Estado para o exercício financeiro de 2001 e dá outras providências.</t>
  </si>
  <si>
    <t>Secretaria de Estado de Ciência Tec. e Meio Ambiente</t>
  </si>
  <si>
    <t>Inst. De Meio Ambiente do Acre – IMAC</t>
  </si>
  <si>
    <t>Comp. De Arm. Ger. E Entrep. Do Acre- CAGEACRE</t>
  </si>
  <si>
    <t>Empresa de Assist. Téc. E Ext. Rural – EMATER-ACRE</t>
  </si>
  <si>
    <t>Lei nº 1.306, de 24/12/1999Publicada no DOE de 30/12/1999</t>
  </si>
  <si>
    <t>Estima a Receita, fixa a Despesa do Estado para o exercício financeiro de 2000 e dá outras providências.</t>
  </si>
  <si>
    <t>Secretaria de Estado de Ciência, Tec. e Meio Ambiente</t>
  </si>
  <si>
    <t>Instituto de Meio Ambiente do Acre – IMAC</t>
  </si>
  <si>
    <t>Companhia de Armazéns Gerais e Entrepostos do Acre – CAGEACRE</t>
  </si>
  <si>
    <t>Empresa de Assistência Técnica e Extensão Rural – EMATER – ACRE</t>
  </si>
  <si>
    <t>Lei nº 1.276, de 13/01/1999Publicada no DOE de 13/01/1999</t>
  </si>
  <si>
    <t>Estima a Receita, fixa a Despesa do Estado para o exercício financeiro de 1999, e dá outras providências.</t>
  </si>
  <si>
    <t>Secretaria de Estado de Ciência, Tecnologia e Meio Ambiente </t>
  </si>
  <si>
    <t>Secretaria de Estado de Desenvolvimento Agrário</t>
  </si>
  <si>
    <t>Lei nº 1.257, de 22/12/1997Publicada no DOE de 26/12/1997</t>
  </si>
  <si>
    <t>Estima a Receita e fixa Despesa do Estado para o exercício financeiro de 1998, e dá outras providências.</t>
  </si>
  <si>
    <t>FUNTAC</t>
  </si>
  <si>
    <t>Lei nº 1.221, de 17/12/1996Publicada no DOE de 26/12/1996</t>
  </si>
  <si>
    <t>Estima a Receita, fixa a Despesa do Estado para o exercício financeiro de 1997, e dá outras providências.</t>
  </si>
  <si>
    <t>Lei nº 1.174, de 22/12/1995Publicada no DOE de 28/12/1995</t>
  </si>
  <si>
    <t>Estima a Receita, Fixa a Despesa do Estado para o exercício financeiro de 1996, e dá outras providências.</t>
  </si>
  <si>
    <t>Lei nº 1.152, de 19/01/1995Publicada no DOE de 19/03/1995</t>
  </si>
  <si>
    <t>Estima a receita, fixa a despesa do Estado para o exercício financeiro de 1995, e dá outras providências.</t>
  </si>
  <si>
    <t>Lei nº 1.106, de 17/12/1993Publicada no DOE de 17/12/1993</t>
  </si>
  <si>
    <t>Estima a receita, fixa a despesa do Estado para o exercício financeiro de 1994, e dá outras providências.</t>
  </si>
  <si>
    <t>Lei nº 1.075, de 31/12/1992Publicada no DOE de 31/12/1992</t>
  </si>
  <si>
    <t>Estima a receita, fixa a despesa do Estado para o exercício financeiro de 1993, e dá outras providências.</t>
  </si>
  <si>
    <t>Lei nº 1.017, de 20/12/1991Publicada no DOE de 30/12/1991</t>
  </si>
  <si>
    <t>Estima a receita, fixa a despesa do Estado para o exercício financeiro de 1992 e dá outras providências.</t>
  </si>
  <si>
    <t>Lei nº 965, de 19/12/1990Publicada no DOE de 31/12/1990</t>
  </si>
  <si>
    <t>Estima a receita, fixa a despesa do Estado para o exercício financeiro de 1991 e dá outras providências.</t>
  </si>
  <si>
    <t>Secretaria de Estado do Meio Ambiente do Acre</t>
  </si>
  <si>
    <t>Secretaria de Desenvolvimento Agrário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</si>
</sst>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R$&quot;\ #,##0.00;[Red]\-&quot;R$&quot;\ #,##0.00"/>
    <numFmt numFmtId="164" formatCode="_-&quot;R$&quot;\ * #,##0.00_-;\-&quot;R$&quot;\ * #,##0.00_-;_-&quot;R$&quot;\ * &quot;-&quot;??_-;_-@"/>
    <numFmt numFmtId="165" formatCode="[$R$ -416]#,##0.00"/>
  </numFmts>
  <fonts count="30">
    <font>
      <sz val="11"/>
      <color theme="1"/>
      <name val="Calibri"/>
      <scheme val="minor"/>
    </font>
    <font>
      <b/>
      <sz val="11"/>
      <color theme="1"/>
      <name val="Calibri"/>
      <scheme val="minor"/>
    </font>
    <font>
      <b/>
      <sz val="11"/>
      <color theme="1"/>
      <name val="Calibri"/>
    </font>
    <font>
      <sz val="11"/>
      <color theme="1"/>
      <name val="Calibri"/>
    </font>
    <font>
      <sz val="11"/>
      <color theme="10"/>
      <name val="Calibri"/>
    </font>
    <font>
      <sz val="8"/>
      <color rgb="FF222222"/>
      <name val="Arial"/>
    </font>
    <font>
      <sz val="11"/>
      <color theme="1"/>
      <name val="Calibri"/>
      <scheme val="minor"/>
    </font>
    <font>
      <b/>
      <sz val="8"/>
      <color rgb="FF222222"/>
      <name val="Arial"/>
    </font>
    <font>
      <sz val="11"/>
      <color rgb="FF6C6C6C"/>
      <name val="Arial"/>
    </font>
    <font>
      <i/>
      <u/>
      <sz val="8"/>
      <color rgb="FF222222"/>
      <name val="&quot;Work Sans&quot;"/>
    </font>
    <font>
      <sz val="11"/>
      <color rgb="FF222222"/>
      <name val="&quot;Work Sans&quot;"/>
    </font>
    <font>
      <u/>
      <sz val="11"/>
      <color theme="10"/>
      <name val="Calibri"/>
    </font>
    <font>
      <i/>
      <u/>
      <sz val="8"/>
      <color rgb="FF222222"/>
      <name val="Work Sans"/>
    </font>
    <font>
      <sz val="11"/>
      <color rgb="FF222222"/>
      <name val="Work Sans"/>
    </font>
    <font>
      <u/>
      <sz val="11"/>
      <color rgb="FF0000FF"/>
      <name val="Calibri"/>
    </font>
    <font>
      <u/>
      <sz val="11"/>
      <color rgb="FF0563C1"/>
      <name val="Calibri"/>
    </font>
    <font>
      <i/>
      <u/>
      <sz val="8"/>
      <color rgb="FF222222"/>
      <name val="&quot;Work Sans&quot;"/>
    </font>
    <font>
      <i/>
      <sz val="8"/>
      <color rgb="FF222222"/>
      <name val="&quot;Work Sans&quot;"/>
    </font>
    <font>
      <b/>
      <i/>
      <sz val="8"/>
      <color rgb="FF222222"/>
      <name val="&quot;Work Sans&quot;"/>
    </font>
    <font>
      <sz val="8"/>
      <color theme="1"/>
      <name val="Arial"/>
    </font>
    <font>
      <i/>
      <u/>
      <sz val="8"/>
      <color rgb="FF222222"/>
      <name val="&quot;Work Sans&quot;"/>
    </font>
    <font>
      <sz val="10"/>
      <color theme="1"/>
      <name val="Calibri"/>
      <scheme val="minor"/>
    </font>
    <font>
      <u/>
      <sz val="11"/>
      <color theme="10"/>
      <name val="Calibri"/>
    </font>
    <font>
      <sz val="11"/>
      <name val="Calibri"/>
    </font>
    <font>
      <u/>
      <sz val="11"/>
      <color theme="10"/>
      <name val="Calibri"/>
    </font>
    <font>
      <i/>
      <u/>
      <sz val="8"/>
      <color rgb="FF1155CC"/>
      <name val="&quot;Work Sans&quot;, sans-serif"/>
    </font>
    <font>
      <i/>
      <sz val="8"/>
      <color rgb="FF222222"/>
      <name val="&quot;Work Sans&quot;, sans-serif"/>
    </font>
    <font>
      <u/>
      <sz val="11"/>
      <color rgb="FF1155CC"/>
      <name val="Calibri"/>
    </font>
    <font>
      <i/>
      <u/>
      <sz val="8"/>
      <color rgb="FF1155CC"/>
      <name val="Work Sans"/>
    </font>
    <font>
      <i/>
      <sz val="8"/>
      <color rgb="FF222222"/>
      <name val="Work Sans"/>
    </font>
  </fonts>
  <fills count="5">
    <fill>
      <patternFill patternType="none"/>
    </fill>
    <fill>
      <patternFill patternType="gray125"/>
    </fill>
    <fill>
      <patternFill patternType="solid">
        <fgColor rgb="FFFFFFFF"/>
        <bgColor rgb="FFFFFFFF"/>
      </patternFill>
    </fill>
    <fill>
      <patternFill patternType="solid">
        <fgColor rgb="FFF9CB9C"/>
        <bgColor rgb="FFF9CB9C"/>
      </patternFill>
    </fill>
    <fill>
      <patternFill patternType="solid">
        <fgColor rgb="FFFFFF00"/>
        <bgColor rgb="FFFFFF00"/>
      </patternFill>
    </fill>
  </fills>
  <borders count="7">
    <border>
      <left/>
      <right/>
      <top/>
      <bottom/>
      <diagonal/>
    </border>
    <border>
      <left/>
      <right/>
      <top style="medium">
        <color rgb="FFDEE2E6"/>
      </top>
      <bottom/>
      <diagonal/>
    </border>
    <border>
      <left/>
      <right/>
      <top style="medium">
        <color rgb="FFDEE2E6"/>
      </top>
      <bottom style="thick">
        <color rgb="FFDEE2E6"/>
      </bottom>
      <diagonal/>
    </border>
    <border>
      <left/>
      <right/>
      <top style="thin">
        <color rgb="FFDEE2E6"/>
      </top>
      <bottom/>
      <diagonal/>
    </border>
    <border>
      <left/>
      <right/>
      <top style="medium">
        <color rgb="FFDEE2E6"/>
      </top>
      <bottom/>
      <diagonal/>
    </border>
    <border>
      <left/>
      <right/>
      <top/>
      <bottom/>
      <diagonal/>
    </border>
    <border>
      <left/>
      <right/>
      <top/>
      <bottom/>
      <diagonal/>
    </border>
  </borders>
  <cellStyleXfs count="1">
    <xf numFmtId="0" fontId="0" fillId="0" borderId="0"/>
  </cellStyleXfs>
  <cellXfs count="63">
    <xf numFmtId="0" fontId="0" fillId="0" borderId="0" xfId="0"/>
    <xf numFmtId="0" fontId="1" fillId="0" borderId="0" xfId="0" applyFont="1"/>
    <xf numFmtId="0" fontId="2" fillId="0" borderId="0" xfId="0" applyFont="1"/>
    <xf numFmtId="14" fontId="2" fillId="0" borderId="0" xfId="0" applyNumberFormat="1" applyFont="1"/>
    <xf numFmtId="14" fontId="3" fillId="0" borderId="0" xfId="0" applyNumberFormat="1" applyFont="1"/>
    <xf numFmtId="0" fontId="2" fillId="0" borderId="0" xfId="0" applyFont="1" applyAlignment="1">
      <alignment horizontal="center" vertical="center"/>
    </xf>
    <xf numFmtId="0" fontId="3" fillId="0" borderId="0" xfId="0" applyFont="1" applyAlignment="1">
      <alignment horizontal="center" vertical="center"/>
    </xf>
    <xf numFmtId="0" fontId="4" fillId="2" borderId="1" xfId="0" applyFont="1" applyFill="1" applyBorder="1" applyAlignment="1">
      <alignment vertical="top" wrapText="1"/>
    </xf>
    <xf numFmtId="0" fontId="5" fillId="2" borderId="1" xfId="0" applyFont="1" applyFill="1" applyBorder="1" applyAlignment="1">
      <alignment vertical="top" wrapText="1"/>
    </xf>
    <xf numFmtId="0" fontId="6" fillId="0" borderId="0" xfId="0" applyFont="1" applyAlignment="1">
      <alignment horizontal="center" vertical="center"/>
    </xf>
    <xf numFmtId="0" fontId="7" fillId="2" borderId="2" xfId="0" applyFont="1" applyFill="1" applyBorder="1" applyAlignment="1">
      <alignment horizontal="center" wrapText="1"/>
    </xf>
    <xf numFmtId="0" fontId="6" fillId="0" borderId="0" xfId="0" applyFont="1"/>
    <xf numFmtId="0" fontId="7" fillId="2" borderId="1" xfId="0" applyFont="1" applyFill="1" applyBorder="1" applyAlignment="1">
      <alignment horizontal="center" wrapText="1"/>
    </xf>
    <xf numFmtId="0" fontId="8" fillId="2" borderId="0" xfId="0" applyFont="1" applyFill="1"/>
    <xf numFmtId="0" fontId="9" fillId="2" borderId="0" xfId="0" applyFont="1" applyFill="1" applyAlignment="1">
      <alignment horizontal="left"/>
    </xf>
    <xf numFmtId="0" fontId="10" fillId="2" borderId="0" xfId="0" applyFont="1" applyFill="1" applyAlignment="1">
      <alignment horizontal="left"/>
    </xf>
    <xf numFmtId="0" fontId="11" fillId="2" borderId="1" xfId="0" applyFont="1" applyFill="1" applyBorder="1" applyAlignment="1">
      <alignment vertical="top" wrapText="1"/>
    </xf>
    <xf numFmtId="0" fontId="3" fillId="0" borderId="0" xfId="0" applyFont="1" applyAlignment="1">
      <alignment horizontal="left" vertical="center" wrapText="1"/>
    </xf>
    <xf numFmtId="0" fontId="10" fillId="2" borderId="3" xfId="0" applyFont="1" applyFill="1" applyBorder="1" applyAlignment="1">
      <alignment horizontal="left" vertical="top"/>
    </xf>
    <xf numFmtId="0" fontId="12" fillId="2" borderId="0" xfId="0" applyFont="1" applyFill="1"/>
    <xf numFmtId="0" fontId="13" fillId="2" borderId="0" xfId="0" applyFont="1" applyFill="1"/>
    <xf numFmtId="0" fontId="3" fillId="0" borderId="0" xfId="0" applyFont="1"/>
    <xf numFmtId="0" fontId="14" fillId="2" borderId="1" xfId="0" applyFont="1" applyFill="1" applyBorder="1" applyAlignment="1">
      <alignment vertical="top" wrapText="1"/>
    </xf>
    <xf numFmtId="0" fontId="15" fillId="2" borderId="1" xfId="0" applyFont="1" applyFill="1" applyBorder="1" applyAlignment="1">
      <alignment vertical="top" wrapText="1"/>
    </xf>
    <xf numFmtId="0" fontId="16" fillId="3" borderId="0" xfId="0" applyFont="1" applyFill="1" applyAlignment="1">
      <alignment horizontal="left"/>
    </xf>
    <xf numFmtId="0" fontId="17" fillId="2" borderId="0" xfId="0" applyFont="1" applyFill="1" applyAlignment="1">
      <alignment horizontal="left"/>
    </xf>
    <xf numFmtId="0" fontId="6" fillId="3" borderId="0" xfId="0" applyFont="1" applyFill="1"/>
    <xf numFmtId="0" fontId="18" fillId="2" borderId="0" xfId="0" applyFont="1" applyFill="1" applyAlignment="1">
      <alignment horizontal="left"/>
    </xf>
    <xf numFmtId="0" fontId="6" fillId="0" borderId="0" xfId="0" applyFont="1" applyAlignment="1">
      <alignment horizontal="center"/>
    </xf>
    <xf numFmtId="3" fontId="19" fillId="0" borderId="0" xfId="0" applyNumberFormat="1" applyFont="1" applyAlignment="1">
      <alignment horizontal="left" vertical="center" wrapText="1"/>
    </xf>
    <xf numFmtId="0" fontId="5" fillId="2" borderId="1" xfId="0" applyFont="1" applyFill="1" applyBorder="1" applyAlignment="1">
      <alignment vertical="center" wrapText="1"/>
    </xf>
    <xf numFmtId="164" fontId="3" fillId="0" borderId="0" xfId="0" applyNumberFormat="1" applyFont="1" applyAlignment="1">
      <alignment horizontal="center" vertical="center"/>
    </xf>
    <xf numFmtId="165" fontId="3" fillId="0" borderId="0" xfId="0" applyNumberFormat="1" applyFont="1" applyAlignment="1">
      <alignment horizontal="center" vertical="center"/>
    </xf>
    <xf numFmtId="0" fontId="6" fillId="0" borderId="0" xfId="0" applyFont="1" applyAlignment="1">
      <alignment vertical="top"/>
    </xf>
    <xf numFmtId="0" fontId="6" fillId="3" borderId="0" xfId="0" applyFont="1" applyFill="1" applyAlignment="1">
      <alignment vertical="center"/>
    </xf>
    <xf numFmtId="8" fontId="3" fillId="0" borderId="0" xfId="0" applyNumberFormat="1" applyFont="1" applyAlignment="1">
      <alignment horizontal="right" vertical="center"/>
    </xf>
    <xf numFmtId="0" fontId="6" fillId="0" borderId="0" xfId="0" applyFont="1" applyAlignment="1">
      <alignment vertical="center"/>
    </xf>
    <xf numFmtId="0" fontId="3" fillId="3" borderId="0" xfId="0" applyFont="1" applyFill="1" applyAlignment="1">
      <alignment horizontal="left" vertical="center" wrapText="1"/>
    </xf>
    <xf numFmtId="0" fontId="20" fillId="4" borderId="0" xfId="0" applyFont="1" applyFill="1" applyAlignment="1">
      <alignment horizontal="left"/>
    </xf>
    <xf numFmtId="0" fontId="3" fillId="0" borderId="0" xfId="0" applyFont="1" applyAlignment="1">
      <alignment horizontal="center" vertical="center" wrapText="1"/>
    </xf>
    <xf numFmtId="0" fontId="19" fillId="0" borderId="0" xfId="0" applyFont="1" applyAlignment="1">
      <alignment horizontal="left" vertical="center" wrapText="1"/>
    </xf>
    <xf numFmtId="0" fontId="6" fillId="4" borderId="0" xfId="0" applyFont="1" applyFill="1"/>
    <xf numFmtId="165" fontId="6" fillId="0" borderId="0" xfId="0" applyNumberFormat="1" applyFont="1" applyAlignment="1">
      <alignment vertical="center"/>
    </xf>
    <xf numFmtId="165" fontId="6" fillId="0" borderId="0" xfId="0" applyNumberFormat="1" applyFont="1"/>
    <xf numFmtId="165" fontId="3" fillId="0" borderId="0" xfId="0" applyNumberFormat="1" applyFont="1" applyAlignment="1">
      <alignment horizontal="right" vertical="center"/>
    </xf>
    <xf numFmtId="165" fontId="21" fillId="0" borderId="0" xfId="0" applyNumberFormat="1" applyFont="1" applyAlignment="1">
      <alignment vertical="center"/>
    </xf>
    <xf numFmtId="165" fontId="21" fillId="0" borderId="0" xfId="0" applyNumberFormat="1" applyFont="1"/>
    <xf numFmtId="0" fontId="5" fillId="2" borderId="1" xfId="0" applyFont="1" applyFill="1" applyBorder="1" applyAlignment="1">
      <alignment horizontal="left" vertical="center" wrapText="1"/>
    </xf>
    <xf numFmtId="3" fontId="5" fillId="2" borderId="1" xfId="0" applyNumberFormat="1" applyFont="1" applyFill="1" applyBorder="1" applyAlignment="1">
      <alignment horizontal="left" vertical="center" wrapText="1"/>
    </xf>
    <xf numFmtId="3" fontId="21" fillId="0" borderId="0" xfId="0" applyNumberFormat="1" applyFont="1"/>
    <xf numFmtId="0" fontId="4" fillId="2" borderId="1" xfId="0" applyFont="1" applyFill="1" applyBorder="1" applyAlignment="1">
      <alignment vertical="center" wrapText="1"/>
    </xf>
    <xf numFmtId="165" fontId="21" fillId="4" borderId="0" xfId="0" applyNumberFormat="1" applyFont="1" applyFill="1"/>
    <xf numFmtId="165" fontId="21" fillId="0" borderId="0" xfId="0" applyNumberFormat="1" applyFont="1" applyAlignment="1">
      <alignment horizontal="right"/>
    </xf>
    <xf numFmtId="0" fontId="21" fillId="0" borderId="0" xfId="0" applyFont="1"/>
    <xf numFmtId="165" fontId="3" fillId="0" borderId="0" xfId="0" applyNumberFormat="1" applyFont="1" applyAlignment="1">
      <alignment horizontal="right"/>
    </xf>
    <xf numFmtId="0" fontId="24" fillId="2" borderId="4" xfId="0" applyFont="1" applyFill="1" applyBorder="1" applyAlignment="1">
      <alignment vertical="top" wrapText="1"/>
    </xf>
    <xf numFmtId="0" fontId="23" fillId="0" borderId="6" xfId="0" applyFont="1" applyBorder="1"/>
    <xf numFmtId="0" fontId="5" fillId="2" borderId="4" xfId="0" applyFont="1" applyFill="1" applyBorder="1" applyAlignment="1">
      <alignment vertical="center" wrapText="1"/>
    </xf>
    <xf numFmtId="0" fontId="3" fillId="0" borderId="0" xfId="0" applyFont="1" applyAlignment="1">
      <alignment horizontal="center" vertical="center"/>
    </xf>
    <xf numFmtId="0" fontId="0" fillId="0" borderId="0" xfId="0"/>
    <xf numFmtId="0" fontId="22" fillId="2" borderId="4" xfId="0" applyFont="1" applyFill="1" applyBorder="1" applyAlignment="1">
      <alignment vertical="center" wrapText="1"/>
    </xf>
    <xf numFmtId="0" fontId="23" fillId="0" borderId="5" xfId="0" applyFont="1" applyBorder="1"/>
    <xf numFmtId="0" fontId="5" fillId="4" borderId="4"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legis.ac.gov.br/detalhar/5324" TargetMode="External"/><Relationship Id="rId117" Type="http://schemas.openxmlformats.org/officeDocument/2006/relationships/hyperlink" Target="https://legis.ac.gov.br/detalhar/1399" TargetMode="External"/><Relationship Id="rId21" Type="http://schemas.openxmlformats.org/officeDocument/2006/relationships/hyperlink" Target="https://legis.ac.gov.br/detalhar/5947" TargetMode="External"/><Relationship Id="rId42" Type="http://schemas.openxmlformats.org/officeDocument/2006/relationships/hyperlink" Target="https://legis.ac.gov.br/detalhar/2218" TargetMode="External"/><Relationship Id="rId47" Type="http://schemas.openxmlformats.org/officeDocument/2006/relationships/hyperlink" Target="https://legis.ac.gov.br/detalhar/2681" TargetMode="External"/><Relationship Id="rId63" Type="http://schemas.openxmlformats.org/officeDocument/2006/relationships/hyperlink" Target="https://legis.ac.gov.br/detalhar/3218" TargetMode="External"/><Relationship Id="rId68" Type="http://schemas.openxmlformats.org/officeDocument/2006/relationships/hyperlink" Target="https://legis.ac.gov.br/detalhar/3035" TargetMode="External"/><Relationship Id="rId84" Type="http://schemas.openxmlformats.org/officeDocument/2006/relationships/hyperlink" Target="https://legis.ac.gov.br/detalhar/2902" TargetMode="External"/><Relationship Id="rId89" Type="http://schemas.openxmlformats.org/officeDocument/2006/relationships/hyperlink" Target="https://legis.ac.gov.br/detalhar/2347" TargetMode="External"/><Relationship Id="rId112" Type="http://schemas.openxmlformats.org/officeDocument/2006/relationships/hyperlink" Target="https://legis.ac.gov.br/detalhar/1731" TargetMode="External"/><Relationship Id="rId133" Type="http://schemas.openxmlformats.org/officeDocument/2006/relationships/hyperlink" Target="https://legis.ac.gov.br/detalhar/3018" TargetMode="External"/><Relationship Id="rId138" Type="http://schemas.openxmlformats.org/officeDocument/2006/relationships/hyperlink" Target="https://legis.ac.gov.br/detalhar/2433" TargetMode="External"/><Relationship Id="rId16" Type="http://schemas.openxmlformats.org/officeDocument/2006/relationships/hyperlink" Target="https://legis.ac.gov.br/detalhar/6147" TargetMode="External"/><Relationship Id="rId107" Type="http://schemas.openxmlformats.org/officeDocument/2006/relationships/hyperlink" Target="https://legis.ac.gov.br/detalhar/65" TargetMode="External"/><Relationship Id="rId11" Type="http://schemas.openxmlformats.org/officeDocument/2006/relationships/hyperlink" Target="https://legis.ac.gov.br/detalhar/6489" TargetMode="External"/><Relationship Id="rId32" Type="http://schemas.openxmlformats.org/officeDocument/2006/relationships/hyperlink" Target="https://legis.ac.gov.br/detalhar/4921" TargetMode="External"/><Relationship Id="rId37" Type="http://schemas.openxmlformats.org/officeDocument/2006/relationships/hyperlink" Target="https://legis.ac.gov.br/detalhar/2978" TargetMode="External"/><Relationship Id="rId53" Type="http://schemas.openxmlformats.org/officeDocument/2006/relationships/hyperlink" Target="https://legis.ac.gov.br/detalhar/2322" TargetMode="External"/><Relationship Id="rId58" Type="http://schemas.openxmlformats.org/officeDocument/2006/relationships/hyperlink" Target="https://legis.ac.gov.br/detalhar/2238" TargetMode="External"/><Relationship Id="rId74" Type="http://schemas.openxmlformats.org/officeDocument/2006/relationships/hyperlink" Target="https://legis.ac.gov.br/detalhar/3073" TargetMode="External"/><Relationship Id="rId79" Type="http://schemas.openxmlformats.org/officeDocument/2006/relationships/hyperlink" Target="https://legis.ac.gov.br/detalhar/2762" TargetMode="External"/><Relationship Id="rId102" Type="http://schemas.openxmlformats.org/officeDocument/2006/relationships/hyperlink" Target="https://legis.ac.gov.br/detalhar/3536" TargetMode="External"/><Relationship Id="rId123" Type="http://schemas.openxmlformats.org/officeDocument/2006/relationships/hyperlink" Target="https://legis.ac.gov.br/detalhar/1837" TargetMode="External"/><Relationship Id="rId128" Type="http://schemas.openxmlformats.org/officeDocument/2006/relationships/hyperlink" Target="https://legis.ac.gov.br/detalhar/905" TargetMode="External"/><Relationship Id="rId5" Type="http://schemas.openxmlformats.org/officeDocument/2006/relationships/hyperlink" Target="https://legis.ac.gov.br/detalhar/6604" TargetMode="External"/><Relationship Id="rId90" Type="http://schemas.openxmlformats.org/officeDocument/2006/relationships/hyperlink" Target="https://legis.ac.gov.br/detalhar/2338" TargetMode="External"/><Relationship Id="rId95" Type="http://schemas.openxmlformats.org/officeDocument/2006/relationships/hyperlink" Target="https://legis.ac.gov.br/detalhar/462" TargetMode="External"/><Relationship Id="rId22" Type="http://schemas.openxmlformats.org/officeDocument/2006/relationships/hyperlink" Target="https://legis.ac.gov.br/detalhar/5925" TargetMode="External"/><Relationship Id="rId27" Type="http://schemas.openxmlformats.org/officeDocument/2006/relationships/hyperlink" Target="https://legis.ac.gov.br/detalhar/5283" TargetMode="External"/><Relationship Id="rId43" Type="http://schemas.openxmlformats.org/officeDocument/2006/relationships/hyperlink" Target="https://legis.ac.gov.br/detalhar/2136" TargetMode="External"/><Relationship Id="rId48" Type="http://schemas.openxmlformats.org/officeDocument/2006/relationships/hyperlink" Target="https://legis.ac.gov.br/detalhar/2649" TargetMode="External"/><Relationship Id="rId64" Type="http://schemas.openxmlformats.org/officeDocument/2006/relationships/hyperlink" Target="https://legis.ac.gov.br/detalhar/3211" TargetMode="External"/><Relationship Id="rId69" Type="http://schemas.openxmlformats.org/officeDocument/2006/relationships/hyperlink" Target="https://legis.ac.gov.br/detalhar/3024" TargetMode="External"/><Relationship Id="rId113" Type="http://schemas.openxmlformats.org/officeDocument/2006/relationships/hyperlink" Target="https://legis.ac.gov.br/detalhar/1675" TargetMode="External"/><Relationship Id="rId118" Type="http://schemas.openxmlformats.org/officeDocument/2006/relationships/hyperlink" Target="https://legis.ac.gov.br/detalhar/1110" TargetMode="External"/><Relationship Id="rId134" Type="http://schemas.openxmlformats.org/officeDocument/2006/relationships/hyperlink" Target="https://legis.ac.gov.br/detalhar/2664" TargetMode="External"/><Relationship Id="rId139" Type="http://schemas.openxmlformats.org/officeDocument/2006/relationships/hyperlink" Target="https://legis.ac.gov.br/detalhar/1975" TargetMode="External"/><Relationship Id="rId8" Type="http://schemas.openxmlformats.org/officeDocument/2006/relationships/hyperlink" Target="https://legis.ac.gov.br/detalhar/6559" TargetMode="External"/><Relationship Id="rId51" Type="http://schemas.openxmlformats.org/officeDocument/2006/relationships/hyperlink" Target="https://legis.ac.gov.br/detalhar/2384" TargetMode="External"/><Relationship Id="rId72" Type="http://schemas.openxmlformats.org/officeDocument/2006/relationships/hyperlink" Target="https://legis.ac.gov.br/detalhar/3090" TargetMode="External"/><Relationship Id="rId80" Type="http://schemas.openxmlformats.org/officeDocument/2006/relationships/hyperlink" Target="https://legis.ac.gov.br/detalhar/2748" TargetMode="External"/><Relationship Id="rId85" Type="http://schemas.openxmlformats.org/officeDocument/2006/relationships/hyperlink" Target="https://legis.ac.gov.br/detalhar/2899" TargetMode="External"/><Relationship Id="rId93" Type="http://schemas.openxmlformats.org/officeDocument/2006/relationships/hyperlink" Target="https://legis.ac.gov.br/detalhar/475" TargetMode="External"/><Relationship Id="rId98" Type="http://schemas.openxmlformats.org/officeDocument/2006/relationships/hyperlink" Target="https://legis.ac.gov.br/detalhar/272" TargetMode="External"/><Relationship Id="rId121" Type="http://schemas.openxmlformats.org/officeDocument/2006/relationships/hyperlink" Target="https://legis.ac.gov.br/detalhar/3846" TargetMode="External"/><Relationship Id="rId3" Type="http://schemas.openxmlformats.org/officeDocument/2006/relationships/hyperlink" Target="https://legis.ac.gov.br/detalhar/6634" TargetMode="External"/><Relationship Id="rId12" Type="http://schemas.openxmlformats.org/officeDocument/2006/relationships/hyperlink" Target="https://legis.ac.gov.br/detalhar/6435" TargetMode="External"/><Relationship Id="rId17" Type="http://schemas.openxmlformats.org/officeDocument/2006/relationships/hyperlink" Target="https://legis.ac.gov.br/detalhar/6145" TargetMode="External"/><Relationship Id="rId25" Type="http://schemas.openxmlformats.org/officeDocument/2006/relationships/hyperlink" Target="https://legis.ac.gov.br/detalhar/5334" TargetMode="External"/><Relationship Id="rId33" Type="http://schemas.openxmlformats.org/officeDocument/2006/relationships/hyperlink" Target="https://legis.ac.gov.br/detalhar/4897" TargetMode="External"/><Relationship Id="rId38" Type="http://schemas.openxmlformats.org/officeDocument/2006/relationships/hyperlink" Target="https://legis.ac.gov.br/detalhar/2293" TargetMode="External"/><Relationship Id="rId46" Type="http://schemas.openxmlformats.org/officeDocument/2006/relationships/hyperlink" Target="https://legis.ac.gov.br/detalhar/1998" TargetMode="External"/><Relationship Id="rId59" Type="http://schemas.openxmlformats.org/officeDocument/2006/relationships/hyperlink" Target="https://legis.ac.gov.br/detalhar/1343" TargetMode="External"/><Relationship Id="rId67" Type="http://schemas.openxmlformats.org/officeDocument/2006/relationships/hyperlink" Target="https://legis.ac.gov.br/detalhar/3039" TargetMode="External"/><Relationship Id="rId103" Type="http://schemas.openxmlformats.org/officeDocument/2006/relationships/hyperlink" Target="https://legis.ac.gov.br/detalhar/3518" TargetMode="External"/><Relationship Id="rId108" Type="http://schemas.openxmlformats.org/officeDocument/2006/relationships/hyperlink" Target="https://legis.ac.gov.br/detalhar/24" TargetMode="External"/><Relationship Id="rId116" Type="http://schemas.openxmlformats.org/officeDocument/2006/relationships/hyperlink" Target="https://legis.ac.gov.br/detalhar/1528" TargetMode="External"/><Relationship Id="rId124" Type="http://schemas.openxmlformats.org/officeDocument/2006/relationships/hyperlink" Target="https://legis.ac.gov.br/detalhar/1822" TargetMode="External"/><Relationship Id="rId129" Type="http://schemas.openxmlformats.org/officeDocument/2006/relationships/hyperlink" Target="https://legis.ac.gov.br/detalhar/893" TargetMode="External"/><Relationship Id="rId137" Type="http://schemas.openxmlformats.org/officeDocument/2006/relationships/hyperlink" Target="https://legis.ac.gov.br/detalhar/3299" TargetMode="External"/><Relationship Id="rId20" Type="http://schemas.openxmlformats.org/officeDocument/2006/relationships/hyperlink" Target="https://legis.ac.gov.br/detalhar/6104" TargetMode="External"/><Relationship Id="rId41" Type="http://schemas.openxmlformats.org/officeDocument/2006/relationships/hyperlink" Target="https://legis.ac.gov.br/detalhar/2223" TargetMode="External"/><Relationship Id="rId54" Type="http://schemas.openxmlformats.org/officeDocument/2006/relationships/hyperlink" Target="https://legis.ac.gov.br/detalhar/2289" TargetMode="External"/><Relationship Id="rId62" Type="http://schemas.openxmlformats.org/officeDocument/2006/relationships/hyperlink" Target="https://legis.ac.gov.br/detalhar/1008" TargetMode="External"/><Relationship Id="rId70" Type="http://schemas.openxmlformats.org/officeDocument/2006/relationships/hyperlink" Target="https://legis.ac.gov.br/detalhar/3019" TargetMode="External"/><Relationship Id="rId75" Type="http://schemas.openxmlformats.org/officeDocument/2006/relationships/hyperlink" Target="https://legis.ac.gov.br/detalhar/3035" TargetMode="External"/><Relationship Id="rId83" Type="http://schemas.openxmlformats.org/officeDocument/2006/relationships/hyperlink" Target="https://legis.ac.gov.br/detalhar/2907" TargetMode="External"/><Relationship Id="rId88" Type="http://schemas.openxmlformats.org/officeDocument/2006/relationships/hyperlink" Target="https://legis.ac.gov.br/detalhar/2832" TargetMode="External"/><Relationship Id="rId91" Type="http://schemas.openxmlformats.org/officeDocument/2006/relationships/hyperlink" Target="https://legis.ac.gov.br/detalhar/2315" TargetMode="External"/><Relationship Id="rId96" Type="http://schemas.openxmlformats.org/officeDocument/2006/relationships/hyperlink" Target="https://legis.ac.gov.br/detalhar/460" TargetMode="External"/><Relationship Id="rId111" Type="http://schemas.openxmlformats.org/officeDocument/2006/relationships/hyperlink" Target="https://legis.ac.gov.br/detalhar/1737" TargetMode="External"/><Relationship Id="rId132" Type="http://schemas.openxmlformats.org/officeDocument/2006/relationships/hyperlink" Target="https://legis.ac.gov.br/detalhar/3020" TargetMode="External"/><Relationship Id="rId140" Type="http://schemas.openxmlformats.org/officeDocument/2006/relationships/hyperlink" Target="https://legis.ac.gov.br/detalhar/836" TargetMode="External"/><Relationship Id="rId1" Type="http://schemas.openxmlformats.org/officeDocument/2006/relationships/hyperlink" Target="https://legis.ac.gov.br/detalhar/6718" TargetMode="External"/><Relationship Id="rId6" Type="http://schemas.openxmlformats.org/officeDocument/2006/relationships/hyperlink" Target="https://legis.ac.gov.br/detalhar/6600" TargetMode="External"/><Relationship Id="rId15" Type="http://schemas.openxmlformats.org/officeDocument/2006/relationships/hyperlink" Target="https://legis.ac.gov.br/detalhar/6251" TargetMode="External"/><Relationship Id="rId23" Type="http://schemas.openxmlformats.org/officeDocument/2006/relationships/hyperlink" Target="https://legis.ac.gov.br/detalhar/5676" TargetMode="External"/><Relationship Id="rId28" Type="http://schemas.openxmlformats.org/officeDocument/2006/relationships/hyperlink" Target="https://legis.ac.gov.br/detalhar/5191" TargetMode="External"/><Relationship Id="rId36" Type="http://schemas.openxmlformats.org/officeDocument/2006/relationships/hyperlink" Target="https://legis.ac.gov.br/detalhar/4417" TargetMode="External"/><Relationship Id="rId49" Type="http://schemas.openxmlformats.org/officeDocument/2006/relationships/hyperlink" Target="https://legis.ac.gov.br/detalhar/2524" TargetMode="External"/><Relationship Id="rId57" Type="http://schemas.openxmlformats.org/officeDocument/2006/relationships/hyperlink" Target="https://legis.ac.gov.br/detalhar/2244" TargetMode="External"/><Relationship Id="rId106" Type="http://schemas.openxmlformats.org/officeDocument/2006/relationships/hyperlink" Target="https://legis.ac.gov.br/detalhar/3414" TargetMode="External"/><Relationship Id="rId114" Type="http://schemas.openxmlformats.org/officeDocument/2006/relationships/hyperlink" Target="https://legis.ac.gov.br/detalhar/1650" TargetMode="External"/><Relationship Id="rId119" Type="http://schemas.openxmlformats.org/officeDocument/2006/relationships/hyperlink" Target="https://legis.ac.gov.br/detalhar/1079" TargetMode="External"/><Relationship Id="rId127" Type="http://schemas.openxmlformats.org/officeDocument/2006/relationships/hyperlink" Target="https://legis.ac.gov.br/detalhar/923" TargetMode="External"/><Relationship Id="rId10" Type="http://schemas.openxmlformats.org/officeDocument/2006/relationships/hyperlink" Target="https://legis.ac.gov.br/detalhar/6518" TargetMode="External"/><Relationship Id="rId31" Type="http://schemas.openxmlformats.org/officeDocument/2006/relationships/hyperlink" Target="https://legis.ac.gov.br/detalhar/4960" TargetMode="External"/><Relationship Id="rId44" Type="http://schemas.openxmlformats.org/officeDocument/2006/relationships/hyperlink" Target="https://legis.ac.gov.br/detalhar/2042" TargetMode="External"/><Relationship Id="rId52" Type="http://schemas.openxmlformats.org/officeDocument/2006/relationships/hyperlink" Target="https://legis.ac.gov.br/detalhar/2355" TargetMode="External"/><Relationship Id="rId60" Type="http://schemas.openxmlformats.org/officeDocument/2006/relationships/hyperlink" Target="https://legis.ac.gov.br/detalhar/1291" TargetMode="External"/><Relationship Id="rId65" Type="http://schemas.openxmlformats.org/officeDocument/2006/relationships/hyperlink" Target="https://legis.ac.gov.br/detalhar/3204" TargetMode="External"/><Relationship Id="rId73" Type="http://schemas.openxmlformats.org/officeDocument/2006/relationships/hyperlink" Target="https://legis.ac.gov.br/detalhar/3086" TargetMode="External"/><Relationship Id="rId78" Type="http://schemas.openxmlformats.org/officeDocument/2006/relationships/hyperlink" Target="https://legis.ac.gov.br/detalhar/2764" TargetMode="External"/><Relationship Id="rId81" Type="http://schemas.openxmlformats.org/officeDocument/2006/relationships/hyperlink" Target="https://legis.ac.gov.br/detalhar/2877" TargetMode="External"/><Relationship Id="rId86" Type="http://schemas.openxmlformats.org/officeDocument/2006/relationships/hyperlink" Target="https://legis.ac.gov.br/detalhar/2840" TargetMode="External"/><Relationship Id="rId94" Type="http://schemas.openxmlformats.org/officeDocument/2006/relationships/hyperlink" Target="https://legis.ac.gov.br/detalhar/469" TargetMode="External"/><Relationship Id="rId99" Type="http://schemas.openxmlformats.org/officeDocument/2006/relationships/hyperlink" Target="https://legis.ac.gov.br/detalhar/232" TargetMode="External"/><Relationship Id="rId101" Type="http://schemas.openxmlformats.org/officeDocument/2006/relationships/hyperlink" Target="https://legis.ac.gov.br/detalhar/3537" TargetMode="External"/><Relationship Id="rId122" Type="http://schemas.openxmlformats.org/officeDocument/2006/relationships/hyperlink" Target="https://legis.ac.gov.br/detalhar/3777" TargetMode="External"/><Relationship Id="rId130" Type="http://schemas.openxmlformats.org/officeDocument/2006/relationships/hyperlink" Target="https://legis.ac.gov.br/detalhar/871" TargetMode="External"/><Relationship Id="rId135" Type="http://schemas.openxmlformats.org/officeDocument/2006/relationships/hyperlink" Target="https://legis.ac.gov.br/detalhar/561" TargetMode="External"/><Relationship Id="rId4" Type="http://schemas.openxmlformats.org/officeDocument/2006/relationships/hyperlink" Target="https://legis.ac.gov.br/detalhar/6617" TargetMode="External"/><Relationship Id="rId9" Type="http://schemas.openxmlformats.org/officeDocument/2006/relationships/hyperlink" Target="https://legis.ac.gov.br/detalhar/6541" TargetMode="External"/><Relationship Id="rId13" Type="http://schemas.openxmlformats.org/officeDocument/2006/relationships/hyperlink" Target="https://legis.ac.gov.br/detalhar/6253" TargetMode="External"/><Relationship Id="rId18" Type="http://schemas.openxmlformats.org/officeDocument/2006/relationships/hyperlink" Target="https://legis.ac.gov.br/detalhar/6146" TargetMode="External"/><Relationship Id="rId39" Type="http://schemas.openxmlformats.org/officeDocument/2006/relationships/hyperlink" Target="https://legis.ac.gov.br/detalhar/2239" TargetMode="External"/><Relationship Id="rId109" Type="http://schemas.openxmlformats.org/officeDocument/2006/relationships/hyperlink" Target="https://legis.ac.gov.br/detalhar/2106" TargetMode="External"/><Relationship Id="rId34" Type="http://schemas.openxmlformats.org/officeDocument/2006/relationships/hyperlink" Target="https://legis.ac.gov.br/detalhar/4797" TargetMode="External"/><Relationship Id="rId50" Type="http://schemas.openxmlformats.org/officeDocument/2006/relationships/hyperlink" Target="https://legis.ac.gov.br/detalhar/2385" TargetMode="External"/><Relationship Id="rId55" Type="http://schemas.openxmlformats.org/officeDocument/2006/relationships/hyperlink" Target="https://legis.ac.gov.br/detalhar/2285" TargetMode="External"/><Relationship Id="rId76" Type="http://schemas.openxmlformats.org/officeDocument/2006/relationships/hyperlink" Target="https://legis.ac.gov.br/detalhar/3019" TargetMode="External"/><Relationship Id="rId97" Type="http://schemas.openxmlformats.org/officeDocument/2006/relationships/hyperlink" Target="https://legis.ac.gov.br/detalhar/308" TargetMode="External"/><Relationship Id="rId104" Type="http://schemas.openxmlformats.org/officeDocument/2006/relationships/hyperlink" Target="https://legis.ac.gov.br/detalhar/3479" TargetMode="External"/><Relationship Id="rId120" Type="http://schemas.openxmlformats.org/officeDocument/2006/relationships/hyperlink" Target="https://legis.ac.gov.br/detalhar/3809" TargetMode="External"/><Relationship Id="rId125" Type="http://schemas.openxmlformats.org/officeDocument/2006/relationships/hyperlink" Target="https://legis.ac.gov.br/detalhar/1817" TargetMode="External"/><Relationship Id="rId141" Type="http://schemas.openxmlformats.org/officeDocument/2006/relationships/hyperlink" Target="https://legis.ac.gov.br/detalhar/682" TargetMode="External"/><Relationship Id="rId7" Type="http://schemas.openxmlformats.org/officeDocument/2006/relationships/hyperlink" Target="https://legis.ac.gov.br/detalhar/6587" TargetMode="External"/><Relationship Id="rId71" Type="http://schemas.openxmlformats.org/officeDocument/2006/relationships/hyperlink" Target="https://legis.ac.gov.br/detalhar/3014" TargetMode="External"/><Relationship Id="rId92" Type="http://schemas.openxmlformats.org/officeDocument/2006/relationships/hyperlink" Target="https://legis.ac.gov.br/detalhar/1852" TargetMode="External"/><Relationship Id="rId2" Type="http://schemas.openxmlformats.org/officeDocument/2006/relationships/hyperlink" Target="https://legis.ac.gov.br/detalhar/6636" TargetMode="External"/><Relationship Id="rId29" Type="http://schemas.openxmlformats.org/officeDocument/2006/relationships/hyperlink" Target="https://legis.ac.gov.br/detalhar/4978" TargetMode="External"/><Relationship Id="rId24" Type="http://schemas.openxmlformats.org/officeDocument/2006/relationships/hyperlink" Target="https://legis.ac.gov.br/detalhar/5662" TargetMode="External"/><Relationship Id="rId40" Type="http://schemas.openxmlformats.org/officeDocument/2006/relationships/hyperlink" Target="https://legis.ac.gov.br/detalhar/2224" TargetMode="External"/><Relationship Id="rId45" Type="http://schemas.openxmlformats.org/officeDocument/2006/relationships/hyperlink" Target="https://legis.ac.gov.br/detalhar/2649" TargetMode="External"/><Relationship Id="rId66" Type="http://schemas.openxmlformats.org/officeDocument/2006/relationships/hyperlink" Target="https://legis.ac.gov.br/detalhar/3075" TargetMode="External"/><Relationship Id="rId87" Type="http://schemas.openxmlformats.org/officeDocument/2006/relationships/hyperlink" Target="https://legis.ac.gov.br/detalhar/2833" TargetMode="External"/><Relationship Id="rId110" Type="http://schemas.openxmlformats.org/officeDocument/2006/relationships/hyperlink" Target="https://legis.ac.gov.br/detalhar/2105" TargetMode="External"/><Relationship Id="rId115" Type="http://schemas.openxmlformats.org/officeDocument/2006/relationships/hyperlink" Target="https://legis.ac.gov.br/detalhar/1641" TargetMode="External"/><Relationship Id="rId131" Type="http://schemas.openxmlformats.org/officeDocument/2006/relationships/hyperlink" Target="https://legis.ac.gov.br/detalhar/3018" TargetMode="External"/><Relationship Id="rId136" Type="http://schemas.openxmlformats.org/officeDocument/2006/relationships/hyperlink" Target="https://legis.ac.gov.br/detalhar/3674" TargetMode="External"/><Relationship Id="rId61" Type="http://schemas.openxmlformats.org/officeDocument/2006/relationships/hyperlink" Target="https://legis.ac.gov.br/detalhar/1280" TargetMode="External"/><Relationship Id="rId82" Type="http://schemas.openxmlformats.org/officeDocument/2006/relationships/hyperlink" Target="https://legis.ac.gov.br/detalhar/2756" TargetMode="External"/><Relationship Id="rId19" Type="http://schemas.openxmlformats.org/officeDocument/2006/relationships/hyperlink" Target="https://legis.ac.gov.br/detalhar/6139" TargetMode="External"/><Relationship Id="rId14" Type="http://schemas.openxmlformats.org/officeDocument/2006/relationships/hyperlink" Target="https://legis.ac.gov.br/detalhar/6252" TargetMode="External"/><Relationship Id="rId30" Type="http://schemas.openxmlformats.org/officeDocument/2006/relationships/hyperlink" Target="https://legis.ac.gov.br/detalhar/4977" TargetMode="External"/><Relationship Id="rId35" Type="http://schemas.openxmlformats.org/officeDocument/2006/relationships/hyperlink" Target="https://legis.ac.gov.br/detalhar/4496" TargetMode="External"/><Relationship Id="rId56" Type="http://schemas.openxmlformats.org/officeDocument/2006/relationships/hyperlink" Target="https://legis.ac.gov.br/detalhar/2271" TargetMode="External"/><Relationship Id="rId77" Type="http://schemas.openxmlformats.org/officeDocument/2006/relationships/hyperlink" Target="https://legis.ac.gov.br/detalhar/3014" TargetMode="External"/><Relationship Id="rId100" Type="http://schemas.openxmlformats.org/officeDocument/2006/relationships/hyperlink" Target="https://legis.ac.gov.br/detalhar/3538" TargetMode="External"/><Relationship Id="rId105" Type="http://schemas.openxmlformats.org/officeDocument/2006/relationships/hyperlink" Target="https://legis.ac.gov.br/detalhar/3440" TargetMode="External"/><Relationship Id="rId126" Type="http://schemas.openxmlformats.org/officeDocument/2006/relationships/hyperlink" Target="https://legis.ac.gov.br/detalhar/1775" TargetMode="External"/></Relationships>
</file>

<file path=xl/worksheets/_rels/sheet2.xml.rels><?xml version="1.0" encoding="UTF-8" standalone="yes"?>
<Relationships xmlns="http://schemas.openxmlformats.org/package/2006/relationships"><Relationship Id="rId26" Type="http://schemas.openxmlformats.org/officeDocument/2006/relationships/hyperlink" Target="https://legis.ac.gov.br/detalhar/6191" TargetMode="External"/><Relationship Id="rId21" Type="http://schemas.openxmlformats.org/officeDocument/2006/relationships/hyperlink" Target="https://legis.ac.gov.br/detalhar/6305" TargetMode="External"/><Relationship Id="rId42" Type="http://schemas.openxmlformats.org/officeDocument/2006/relationships/hyperlink" Target="https://legis.ac.gov.br/detalhar/5720" TargetMode="External"/><Relationship Id="rId47" Type="http://schemas.openxmlformats.org/officeDocument/2006/relationships/hyperlink" Target="https://legis.ac.gov.br/detalhar/5638" TargetMode="External"/><Relationship Id="rId63" Type="http://schemas.openxmlformats.org/officeDocument/2006/relationships/hyperlink" Target="https://legis.ac.gov.br/detalhar/4653" TargetMode="External"/><Relationship Id="rId68" Type="http://schemas.openxmlformats.org/officeDocument/2006/relationships/hyperlink" Target="https://legis.ac.gov.br/detalhar/4324" TargetMode="External"/><Relationship Id="rId84" Type="http://schemas.openxmlformats.org/officeDocument/2006/relationships/hyperlink" Target="https://legis.ac.gov.br/detalhar/4080" TargetMode="External"/><Relationship Id="rId89" Type="http://schemas.openxmlformats.org/officeDocument/2006/relationships/hyperlink" Target="https://legis.ac.gov.br/detalhar/4369" TargetMode="External"/><Relationship Id="rId7" Type="http://schemas.openxmlformats.org/officeDocument/2006/relationships/hyperlink" Target="https://legis.ac.gov.br/detalhar/6752" TargetMode="External"/><Relationship Id="rId71" Type="http://schemas.openxmlformats.org/officeDocument/2006/relationships/hyperlink" Target="https://legis.ac.gov.br/detalhar/4142" TargetMode="External"/><Relationship Id="rId92" Type="http://schemas.openxmlformats.org/officeDocument/2006/relationships/hyperlink" Target="https://legis.ac.gov.br/detalhar/4771" TargetMode="External"/><Relationship Id="rId2" Type="http://schemas.openxmlformats.org/officeDocument/2006/relationships/hyperlink" Target="https://legis.ac.gov.br/detalhar/6849" TargetMode="External"/><Relationship Id="rId16" Type="http://schemas.openxmlformats.org/officeDocument/2006/relationships/hyperlink" Target="https://legis.ac.gov.br/detalhar/6530" TargetMode="External"/><Relationship Id="rId29" Type="http://schemas.openxmlformats.org/officeDocument/2006/relationships/hyperlink" Target="https://legis.ac.gov.br/detalhar/6162" TargetMode="External"/><Relationship Id="rId11" Type="http://schemas.openxmlformats.org/officeDocument/2006/relationships/hyperlink" Target="https://legis.ac.gov.br/detalhar/6565" TargetMode="External"/><Relationship Id="rId24" Type="http://schemas.openxmlformats.org/officeDocument/2006/relationships/hyperlink" Target="https://legis.ac.gov.br/detalhar/6239" TargetMode="External"/><Relationship Id="rId32" Type="http://schemas.openxmlformats.org/officeDocument/2006/relationships/hyperlink" Target="https://legis.ac.gov.br/detalhar/6087" TargetMode="External"/><Relationship Id="rId37" Type="http://schemas.openxmlformats.org/officeDocument/2006/relationships/hyperlink" Target="https://legis.ac.gov.br/detalhar/5814" TargetMode="External"/><Relationship Id="rId40" Type="http://schemas.openxmlformats.org/officeDocument/2006/relationships/hyperlink" Target="https://legis.ac.gov.br/detalhar/5739" TargetMode="External"/><Relationship Id="rId45" Type="http://schemas.openxmlformats.org/officeDocument/2006/relationships/hyperlink" Target="https://legis.ac.gov.br/detalhar/5671" TargetMode="External"/><Relationship Id="rId53" Type="http://schemas.openxmlformats.org/officeDocument/2006/relationships/hyperlink" Target="https://legis.ac.gov.br/detalhar/5337" TargetMode="External"/><Relationship Id="rId58" Type="http://schemas.openxmlformats.org/officeDocument/2006/relationships/hyperlink" Target="https://legis.ac.gov.br/detalhar/4822" TargetMode="External"/><Relationship Id="rId66" Type="http://schemas.openxmlformats.org/officeDocument/2006/relationships/hyperlink" Target="https://legis.ac.gov.br/detalhar/4386" TargetMode="External"/><Relationship Id="rId74" Type="http://schemas.openxmlformats.org/officeDocument/2006/relationships/hyperlink" Target="https://legis.ac.gov.br/detalhar/4095" TargetMode="External"/><Relationship Id="rId79" Type="http://schemas.openxmlformats.org/officeDocument/2006/relationships/hyperlink" Target="https://legis.ac.gov.br/detalhar/559" TargetMode="External"/><Relationship Id="rId87" Type="http://schemas.openxmlformats.org/officeDocument/2006/relationships/hyperlink" Target="https://legis.ac.gov.br/detalhar/4293" TargetMode="External"/><Relationship Id="rId102" Type="http://schemas.openxmlformats.org/officeDocument/2006/relationships/hyperlink" Target="https://legis.ac.gov.br/detalhar/4329" TargetMode="External"/><Relationship Id="rId5" Type="http://schemas.openxmlformats.org/officeDocument/2006/relationships/hyperlink" Target="https://legis.ac.gov.br/detalhar/6800" TargetMode="External"/><Relationship Id="rId61" Type="http://schemas.openxmlformats.org/officeDocument/2006/relationships/hyperlink" Target="https://legis.ac.gov.br/detalhar/4741" TargetMode="External"/><Relationship Id="rId82" Type="http://schemas.openxmlformats.org/officeDocument/2006/relationships/hyperlink" Target="https://legis.ac.gov.br/detalhar/4307" TargetMode="External"/><Relationship Id="rId90" Type="http://schemas.openxmlformats.org/officeDocument/2006/relationships/hyperlink" Target="https://legis.ac.gov.br/detalhar/4772" TargetMode="External"/><Relationship Id="rId95" Type="http://schemas.openxmlformats.org/officeDocument/2006/relationships/hyperlink" Target="https://legis.ac.gov.br/detalhar/4305" TargetMode="External"/><Relationship Id="rId19" Type="http://schemas.openxmlformats.org/officeDocument/2006/relationships/hyperlink" Target="https://legis.ac.gov.br/detalhar/6354" TargetMode="External"/><Relationship Id="rId14" Type="http://schemas.openxmlformats.org/officeDocument/2006/relationships/hyperlink" Target="https://legis.ac.gov.br/detalhar/6553" TargetMode="External"/><Relationship Id="rId22" Type="http://schemas.openxmlformats.org/officeDocument/2006/relationships/hyperlink" Target="https://legis.ac.gov.br/detalhar/6259" TargetMode="External"/><Relationship Id="rId27" Type="http://schemas.openxmlformats.org/officeDocument/2006/relationships/hyperlink" Target="https://legis.ac.gov.br/detalhar/6186" TargetMode="External"/><Relationship Id="rId30" Type="http://schemas.openxmlformats.org/officeDocument/2006/relationships/hyperlink" Target="https://legis.ac.gov.br/detalhar/6142" TargetMode="External"/><Relationship Id="rId35" Type="http://schemas.openxmlformats.org/officeDocument/2006/relationships/hyperlink" Target="https://legis.ac.gov.br/detalhar/6044" TargetMode="External"/><Relationship Id="rId43" Type="http://schemas.openxmlformats.org/officeDocument/2006/relationships/hyperlink" Target="https://legis.ac.gov.br/detalhar/5719" TargetMode="External"/><Relationship Id="rId48" Type="http://schemas.openxmlformats.org/officeDocument/2006/relationships/hyperlink" Target="https://legis.ac.gov.br/detalhar/5622" TargetMode="External"/><Relationship Id="rId56" Type="http://schemas.openxmlformats.org/officeDocument/2006/relationships/hyperlink" Target="https://legis.ac.gov.br/detalhar/5208" TargetMode="External"/><Relationship Id="rId64" Type="http://schemas.openxmlformats.org/officeDocument/2006/relationships/hyperlink" Target="https://legis.ac.gov.br/detalhar/4593" TargetMode="External"/><Relationship Id="rId69" Type="http://schemas.openxmlformats.org/officeDocument/2006/relationships/hyperlink" Target="https://legis.ac.gov.br/detalhar/5815" TargetMode="External"/><Relationship Id="rId77" Type="http://schemas.openxmlformats.org/officeDocument/2006/relationships/hyperlink" Target="https://legis.ac.gov.br/detalhar/4051" TargetMode="External"/><Relationship Id="rId100" Type="http://schemas.openxmlformats.org/officeDocument/2006/relationships/hyperlink" Target="https://legis.ac.gov.br/detalhar/6859" TargetMode="External"/><Relationship Id="rId105" Type="http://schemas.openxmlformats.org/officeDocument/2006/relationships/hyperlink" Target="https://legis.ac.gov.br/detalhar/4486" TargetMode="External"/><Relationship Id="rId8" Type="http://schemas.openxmlformats.org/officeDocument/2006/relationships/hyperlink" Target="https://legis.ac.gov.br/detalhar/6705" TargetMode="External"/><Relationship Id="rId51" Type="http://schemas.openxmlformats.org/officeDocument/2006/relationships/hyperlink" Target="https://legis.ac.gov.br/detalhar/5561" TargetMode="External"/><Relationship Id="rId72" Type="http://schemas.openxmlformats.org/officeDocument/2006/relationships/hyperlink" Target="https://legis.ac.gov.br/detalhar/4098" TargetMode="External"/><Relationship Id="rId80" Type="http://schemas.openxmlformats.org/officeDocument/2006/relationships/hyperlink" Target="https://legis.ac.gov.br/detalhar/238" TargetMode="External"/><Relationship Id="rId85" Type="http://schemas.openxmlformats.org/officeDocument/2006/relationships/hyperlink" Target="https://legis.ac.gov.br/detalhar/4302" TargetMode="External"/><Relationship Id="rId93" Type="http://schemas.openxmlformats.org/officeDocument/2006/relationships/hyperlink" Target="https://legis.ac.gov.br/detalhar/4364" TargetMode="External"/><Relationship Id="rId98" Type="http://schemas.openxmlformats.org/officeDocument/2006/relationships/hyperlink" Target="https://legis.ac.gov.br/detalhar/4721" TargetMode="External"/><Relationship Id="rId3" Type="http://schemas.openxmlformats.org/officeDocument/2006/relationships/hyperlink" Target="https://legis.ac.gov.br/detalhar/6844" TargetMode="External"/><Relationship Id="rId12" Type="http://schemas.openxmlformats.org/officeDocument/2006/relationships/hyperlink" Target="https://legis.ac.gov.br/detalhar/6557" TargetMode="External"/><Relationship Id="rId17" Type="http://schemas.openxmlformats.org/officeDocument/2006/relationships/hyperlink" Target="https://legis.ac.gov.br/detalhar/6458" TargetMode="External"/><Relationship Id="rId25" Type="http://schemas.openxmlformats.org/officeDocument/2006/relationships/hyperlink" Target="https://legis.ac.gov.br/detalhar/6218" TargetMode="External"/><Relationship Id="rId33" Type="http://schemas.openxmlformats.org/officeDocument/2006/relationships/hyperlink" Target="https://legis.ac.gov.br/detalhar/6070" TargetMode="External"/><Relationship Id="rId38" Type="http://schemas.openxmlformats.org/officeDocument/2006/relationships/hyperlink" Target="https://legis.ac.gov.br/detalhar/5812" TargetMode="External"/><Relationship Id="rId46" Type="http://schemas.openxmlformats.org/officeDocument/2006/relationships/hyperlink" Target="https://legis.ac.gov.br/detalhar/5640" TargetMode="External"/><Relationship Id="rId59" Type="http://schemas.openxmlformats.org/officeDocument/2006/relationships/hyperlink" Target="https://legis.ac.gov.br/detalhar/4802" TargetMode="External"/><Relationship Id="rId67" Type="http://schemas.openxmlformats.org/officeDocument/2006/relationships/hyperlink" Target="https://legis.ac.gov.br/detalhar/4326" TargetMode="External"/><Relationship Id="rId103" Type="http://schemas.openxmlformats.org/officeDocument/2006/relationships/hyperlink" Target="https://legis.ac.gov.br/detalhar/4847" TargetMode="External"/><Relationship Id="rId20" Type="http://schemas.openxmlformats.org/officeDocument/2006/relationships/hyperlink" Target="https://legis.ac.gov.br/detalhar/6350" TargetMode="External"/><Relationship Id="rId41" Type="http://schemas.openxmlformats.org/officeDocument/2006/relationships/hyperlink" Target="https://legis.ac.gov.br/detalhar/5738" TargetMode="External"/><Relationship Id="rId54" Type="http://schemas.openxmlformats.org/officeDocument/2006/relationships/hyperlink" Target="https://legis.ac.gov.br/detalhar/5285" TargetMode="External"/><Relationship Id="rId62" Type="http://schemas.openxmlformats.org/officeDocument/2006/relationships/hyperlink" Target="https://legis.ac.gov.br/detalhar/4763" TargetMode="External"/><Relationship Id="rId70" Type="http://schemas.openxmlformats.org/officeDocument/2006/relationships/hyperlink" Target="https://legis.ac.gov.br/detalhar/4175" TargetMode="External"/><Relationship Id="rId75" Type="http://schemas.openxmlformats.org/officeDocument/2006/relationships/hyperlink" Target="https://legis.ac.gov.br/detalhar/5245" TargetMode="External"/><Relationship Id="rId83" Type="http://schemas.openxmlformats.org/officeDocument/2006/relationships/hyperlink" Target="https://legis.ac.gov.br/detalhar/4081" TargetMode="External"/><Relationship Id="rId88" Type="http://schemas.openxmlformats.org/officeDocument/2006/relationships/hyperlink" Target="https://legis.ac.gov.br/detalhar/4850" TargetMode="External"/><Relationship Id="rId91" Type="http://schemas.openxmlformats.org/officeDocument/2006/relationships/hyperlink" Target="https://legis.ac.gov.br/detalhar/6858" TargetMode="External"/><Relationship Id="rId96" Type="http://schemas.openxmlformats.org/officeDocument/2006/relationships/hyperlink" Target="https://legis.ac.gov.br/detalhar/4366" TargetMode="External"/><Relationship Id="rId1" Type="http://schemas.openxmlformats.org/officeDocument/2006/relationships/hyperlink" Target="https://legis.ac.gov.br/detalhar/6857" TargetMode="External"/><Relationship Id="rId6" Type="http://schemas.openxmlformats.org/officeDocument/2006/relationships/hyperlink" Target="https://legis.ac.gov.br/detalhar/6763" TargetMode="External"/><Relationship Id="rId15" Type="http://schemas.openxmlformats.org/officeDocument/2006/relationships/hyperlink" Target="https://legis.ac.gov.br/detalhar/6551" TargetMode="External"/><Relationship Id="rId23" Type="http://schemas.openxmlformats.org/officeDocument/2006/relationships/hyperlink" Target="https://legis.ac.gov.br/detalhar/6258" TargetMode="External"/><Relationship Id="rId28" Type="http://schemas.openxmlformats.org/officeDocument/2006/relationships/hyperlink" Target="https://legis.ac.gov.br/detalhar/6166" TargetMode="External"/><Relationship Id="rId36" Type="http://schemas.openxmlformats.org/officeDocument/2006/relationships/hyperlink" Target="https://legis.ac.gov.br/detalhar/5952" TargetMode="External"/><Relationship Id="rId49" Type="http://schemas.openxmlformats.org/officeDocument/2006/relationships/hyperlink" Target="https://legis.ac.gov.br/detalhar/5568" TargetMode="External"/><Relationship Id="rId57" Type="http://schemas.openxmlformats.org/officeDocument/2006/relationships/hyperlink" Target="https://legis.ac.gov.br/detalhar/4379" TargetMode="External"/><Relationship Id="rId106" Type="http://schemas.openxmlformats.org/officeDocument/2006/relationships/hyperlink" Target="https://legis.ac.gov.br/detalhar/4803" TargetMode="External"/><Relationship Id="rId10" Type="http://schemas.openxmlformats.org/officeDocument/2006/relationships/hyperlink" Target="https://legis.ac.gov.br/detalhar/6575" TargetMode="External"/><Relationship Id="rId31" Type="http://schemas.openxmlformats.org/officeDocument/2006/relationships/hyperlink" Target="https://legis.ac.gov.br/detalhar/6117" TargetMode="External"/><Relationship Id="rId44" Type="http://schemas.openxmlformats.org/officeDocument/2006/relationships/hyperlink" Target="https://legis.ac.gov.br/detalhar/5686" TargetMode="External"/><Relationship Id="rId52" Type="http://schemas.openxmlformats.org/officeDocument/2006/relationships/hyperlink" Target="https://legis.ac.gov.br/detalhar/5507" TargetMode="External"/><Relationship Id="rId60" Type="http://schemas.openxmlformats.org/officeDocument/2006/relationships/hyperlink" Target="https://legis.ac.gov.br/detalhar/4800" TargetMode="External"/><Relationship Id="rId65" Type="http://schemas.openxmlformats.org/officeDocument/2006/relationships/hyperlink" Target="https://legis.ac.gov.br/detalhar/4497" TargetMode="External"/><Relationship Id="rId73" Type="http://schemas.openxmlformats.org/officeDocument/2006/relationships/hyperlink" Target="https://legis.ac.gov.br/detalhar/4105" TargetMode="External"/><Relationship Id="rId78" Type="http://schemas.openxmlformats.org/officeDocument/2006/relationships/hyperlink" Target="https://legis.ac.gov.br/detalhar/3590" TargetMode="External"/><Relationship Id="rId81" Type="http://schemas.openxmlformats.org/officeDocument/2006/relationships/hyperlink" Target="https://legis.ac.gov.br/detalhar/237" TargetMode="External"/><Relationship Id="rId86" Type="http://schemas.openxmlformats.org/officeDocument/2006/relationships/hyperlink" Target="https://legis.ac.gov.br/detalhar/4387" TargetMode="External"/><Relationship Id="rId94" Type="http://schemas.openxmlformats.org/officeDocument/2006/relationships/hyperlink" Target="https://legis.ac.gov.br/detalhar/4365" TargetMode="External"/><Relationship Id="rId99" Type="http://schemas.openxmlformats.org/officeDocument/2006/relationships/hyperlink" Target="https://legis.ac.gov.br/detalhar/4347" TargetMode="External"/><Relationship Id="rId101" Type="http://schemas.openxmlformats.org/officeDocument/2006/relationships/hyperlink" Target="https://legis.ac.gov.br/detalhar/6860" TargetMode="External"/><Relationship Id="rId4" Type="http://schemas.openxmlformats.org/officeDocument/2006/relationships/hyperlink" Target="https://legis.ac.gov.br/detalhar/6841" TargetMode="External"/><Relationship Id="rId9" Type="http://schemas.openxmlformats.org/officeDocument/2006/relationships/hyperlink" Target="https://legis.ac.gov.br/detalhar/6610" TargetMode="External"/><Relationship Id="rId13" Type="http://schemas.openxmlformats.org/officeDocument/2006/relationships/hyperlink" Target="https://legis.ac.gov.br/detalhar/6555" TargetMode="External"/><Relationship Id="rId18" Type="http://schemas.openxmlformats.org/officeDocument/2006/relationships/hyperlink" Target="https://legis.ac.gov.br/detalhar/6453" TargetMode="External"/><Relationship Id="rId39" Type="http://schemas.openxmlformats.org/officeDocument/2006/relationships/hyperlink" Target="https://legis.ac.gov.br/detalhar/5808" TargetMode="External"/><Relationship Id="rId34" Type="http://schemas.openxmlformats.org/officeDocument/2006/relationships/hyperlink" Target="https://legis.ac.gov.br/detalhar/6042" TargetMode="External"/><Relationship Id="rId50" Type="http://schemas.openxmlformats.org/officeDocument/2006/relationships/hyperlink" Target="https://legis.ac.gov.br/detalhar/5560" TargetMode="External"/><Relationship Id="rId55" Type="http://schemas.openxmlformats.org/officeDocument/2006/relationships/hyperlink" Target="https://legis.ac.gov.br/detalhar/5244" TargetMode="External"/><Relationship Id="rId76" Type="http://schemas.openxmlformats.org/officeDocument/2006/relationships/hyperlink" Target="https://legis.ac.gov.br/detalhar/4070" TargetMode="External"/><Relationship Id="rId97" Type="http://schemas.openxmlformats.org/officeDocument/2006/relationships/hyperlink" Target="https://legis.ac.gov.br/detalhar/4294" TargetMode="External"/><Relationship Id="rId104" Type="http://schemas.openxmlformats.org/officeDocument/2006/relationships/hyperlink" Target="https://legis.ac.gov.br/detalhar/4484"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legis.ac.gov.br/detalhar/2032" TargetMode="External"/><Relationship Id="rId13" Type="http://schemas.openxmlformats.org/officeDocument/2006/relationships/hyperlink" Target="https://legis.ac.gov.br/detalhar/416" TargetMode="External"/><Relationship Id="rId18" Type="http://schemas.openxmlformats.org/officeDocument/2006/relationships/hyperlink" Target="https://legis.ac.gov.br/detalhar/1648" TargetMode="External"/><Relationship Id="rId3" Type="http://schemas.openxmlformats.org/officeDocument/2006/relationships/hyperlink" Target="https://legis.ac.gov.br/detalhar/4607" TargetMode="External"/><Relationship Id="rId21" Type="http://schemas.openxmlformats.org/officeDocument/2006/relationships/hyperlink" Target="https://legis.ac.gov.br/detalhar/1835" TargetMode="External"/><Relationship Id="rId7" Type="http://schemas.openxmlformats.org/officeDocument/2006/relationships/hyperlink" Target="https://legis.ac.gov.br/detalhar/2060" TargetMode="External"/><Relationship Id="rId12" Type="http://schemas.openxmlformats.org/officeDocument/2006/relationships/hyperlink" Target="https://legis.ac.gov.br/detalhar/430" TargetMode="External"/><Relationship Id="rId17" Type="http://schemas.openxmlformats.org/officeDocument/2006/relationships/hyperlink" Target="https://legis.ac.gov.br/detalhar/1704" TargetMode="External"/><Relationship Id="rId25" Type="http://schemas.openxmlformats.org/officeDocument/2006/relationships/hyperlink" Target="https://legis.ac.gov.br/detalhar/1368" TargetMode="External"/><Relationship Id="rId2" Type="http://schemas.openxmlformats.org/officeDocument/2006/relationships/hyperlink" Target="https://legis.ac.gov.br/detalhar/6109" TargetMode="External"/><Relationship Id="rId16" Type="http://schemas.openxmlformats.org/officeDocument/2006/relationships/hyperlink" Target="https://legis.ac.gov.br/detalhar/3425" TargetMode="External"/><Relationship Id="rId20" Type="http://schemas.openxmlformats.org/officeDocument/2006/relationships/hyperlink" Target="https://legis.ac.gov.br/detalhar/3784" TargetMode="External"/><Relationship Id="rId1" Type="http://schemas.openxmlformats.org/officeDocument/2006/relationships/hyperlink" Target="https://legis.ac.gov.br/detalhar/6403" TargetMode="External"/><Relationship Id="rId6" Type="http://schemas.openxmlformats.org/officeDocument/2006/relationships/hyperlink" Target="https://legis.ac.gov.br/detalhar/2524" TargetMode="External"/><Relationship Id="rId11" Type="http://schemas.openxmlformats.org/officeDocument/2006/relationships/hyperlink" Target="https://legis.ac.gov.br/detalhar/434" TargetMode="External"/><Relationship Id="rId24" Type="http://schemas.openxmlformats.org/officeDocument/2006/relationships/hyperlink" Target="https://legis.ac.gov.br/detalhar/1384" TargetMode="External"/><Relationship Id="rId5" Type="http://schemas.openxmlformats.org/officeDocument/2006/relationships/hyperlink" Target="https://legis.ac.gov.br/detalhar/2655" TargetMode="External"/><Relationship Id="rId15" Type="http://schemas.openxmlformats.org/officeDocument/2006/relationships/hyperlink" Target="https://legis.ac.gov.br/detalhar/3476" TargetMode="External"/><Relationship Id="rId23" Type="http://schemas.openxmlformats.org/officeDocument/2006/relationships/hyperlink" Target="https://legis.ac.gov.br/detalhar/341" TargetMode="External"/><Relationship Id="rId10" Type="http://schemas.openxmlformats.org/officeDocument/2006/relationships/hyperlink" Target="https://legis.ac.gov.br/detalhar/3224" TargetMode="External"/><Relationship Id="rId19" Type="http://schemas.openxmlformats.org/officeDocument/2006/relationships/hyperlink" Target="https://legis.ac.gov.br/detalhar/625" TargetMode="External"/><Relationship Id="rId4" Type="http://schemas.openxmlformats.org/officeDocument/2006/relationships/hyperlink" Target="https://legis.ac.gov.br/detalhar/4315" TargetMode="External"/><Relationship Id="rId9" Type="http://schemas.openxmlformats.org/officeDocument/2006/relationships/hyperlink" Target="https://legis.ac.gov.br/detalhar/3987" TargetMode="External"/><Relationship Id="rId14" Type="http://schemas.openxmlformats.org/officeDocument/2006/relationships/hyperlink" Target="https://legis.ac.gov.br/detalhar/3533" TargetMode="External"/><Relationship Id="rId22" Type="http://schemas.openxmlformats.org/officeDocument/2006/relationships/hyperlink" Target="https://legis.ac.gov.br/detalhar/926"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seplan.ac.gov.br/wp-content/uploads/2021/02/PPA-2020-2023-atualizado.pdf" TargetMode="External"/><Relationship Id="rId13" Type="http://schemas.openxmlformats.org/officeDocument/2006/relationships/hyperlink" Target="https://seplan.ac.gov.br/wp-content/uploads/2021/10/PPA_2012-2015.pdf" TargetMode="External"/><Relationship Id="rId18" Type="http://schemas.openxmlformats.org/officeDocument/2006/relationships/hyperlink" Target="http://www.legis.ac.gov.br/detalhar/3221" TargetMode="External"/><Relationship Id="rId3" Type="http://schemas.openxmlformats.org/officeDocument/2006/relationships/hyperlink" Target="https://seplan.ac.gov.br/wp-content/uploads/2026/01/Lei-4.476-Revisao-do-PPA-2024_2027-publicado-6.1.2026.pdf" TargetMode="External"/><Relationship Id="rId7" Type="http://schemas.openxmlformats.org/officeDocument/2006/relationships/hyperlink" Target="http://www.legis.ac.gov.br/detalhar/2567" TargetMode="External"/><Relationship Id="rId12" Type="http://schemas.openxmlformats.org/officeDocument/2006/relationships/hyperlink" Target="http://www.legis.ac.gov.br/detalhar/2722" TargetMode="External"/><Relationship Id="rId17" Type="http://schemas.openxmlformats.org/officeDocument/2006/relationships/hyperlink" Target="http://www.legis.ac.gov.br/detalhar/922" TargetMode="External"/><Relationship Id="rId2" Type="http://schemas.openxmlformats.org/officeDocument/2006/relationships/hyperlink" Target="https://legis.ac.gov.br/detalhar/5972" TargetMode="External"/><Relationship Id="rId16" Type="http://schemas.openxmlformats.org/officeDocument/2006/relationships/hyperlink" Target="http://www.legis.ac.gov.br/detalhar/1070" TargetMode="External"/><Relationship Id="rId20" Type="http://schemas.openxmlformats.org/officeDocument/2006/relationships/hyperlink" Target="http://www.legis.ac.gov.br/detalhar/2589" TargetMode="External"/><Relationship Id="rId1" Type="http://schemas.openxmlformats.org/officeDocument/2006/relationships/hyperlink" Target="https://legis.ac.gov.br/detalhar/6631" TargetMode="External"/><Relationship Id="rId6" Type="http://schemas.openxmlformats.org/officeDocument/2006/relationships/hyperlink" Target="https://legis.ac.gov.br/detalhar/4159" TargetMode="External"/><Relationship Id="rId11" Type="http://schemas.openxmlformats.org/officeDocument/2006/relationships/hyperlink" Target="https://legis.ac.gov.br/detalhar/1241" TargetMode="External"/><Relationship Id="rId5" Type="http://schemas.openxmlformats.org/officeDocument/2006/relationships/hyperlink" Target="https://legis.ac.gov.br/detalhar/4973" TargetMode="External"/><Relationship Id="rId15" Type="http://schemas.openxmlformats.org/officeDocument/2006/relationships/hyperlink" Target="https://seplan.ac.gov.br/wp-content/uploads/2021/10/PPA_2008_2011.pdf" TargetMode="External"/><Relationship Id="rId10" Type="http://schemas.openxmlformats.org/officeDocument/2006/relationships/hyperlink" Target="https://seplan.ac.gov.br/wp-content/uploads/2021/10/PPA_2016-2019.pdf" TargetMode="External"/><Relationship Id="rId19" Type="http://schemas.openxmlformats.org/officeDocument/2006/relationships/hyperlink" Target="http://www.legis.ac.gov.br/detalhar/2730" TargetMode="External"/><Relationship Id="rId4" Type="http://schemas.openxmlformats.org/officeDocument/2006/relationships/hyperlink" Target="https://legis.ac.gov.br/detalhar/5972" TargetMode="External"/><Relationship Id="rId9" Type="http://schemas.openxmlformats.org/officeDocument/2006/relationships/hyperlink" Target="http://www.legis.ac.gov.br/detalhar/2044" TargetMode="External"/><Relationship Id="rId14" Type="http://schemas.openxmlformats.org/officeDocument/2006/relationships/hyperlink" Target="http://www.legis.ac.gov.br/detalhar/3484"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www.legis.ac.gov.br/detalhar/2150" TargetMode="External"/><Relationship Id="rId13" Type="http://schemas.openxmlformats.org/officeDocument/2006/relationships/hyperlink" Target="http://www.legis.ac.gov.br/detalhar/3059" TargetMode="External"/><Relationship Id="rId18" Type="http://schemas.openxmlformats.org/officeDocument/2006/relationships/hyperlink" Target="http://www.legis.ac.gov.br/detalhar/3526" TargetMode="External"/><Relationship Id="rId26" Type="http://schemas.openxmlformats.org/officeDocument/2006/relationships/hyperlink" Target="http://www.legis.ac.gov.br/detalhar/1763" TargetMode="External"/><Relationship Id="rId3" Type="http://schemas.openxmlformats.org/officeDocument/2006/relationships/hyperlink" Target="http://www.legis.ac.gov.br/detalhar/5699" TargetMode="External"/><Relationship Id="rId21" Type="http://schemas.openxmlformats.org/officeDocument/2006/relationships/hyperlink" Target="http://www.legis.ac.gov.br/detalhar/1663" TargetMode="External"/><Relationship Id="rId34" Type="http://schemas.openxmlformats.org/officeDocument/2006/relationships/hyperlink" Target="http://www.legis.ac.gov.br/detalhar/2710" TargetMode="External"/><Relationship Id="rId7" Type="http://schemas.openxmlformats.org/officeDocument/2006/relationships/hyperlink" Target="http://www.legis.ac.gov.br/detalhar/2305" TargetMode="External"/><Relationship Id="rId12" Type="http://schemas.openxmlformats.org/officeDocument/2006/relationships/hyperlink" Target="http://www.legis.ac.gov.br/detalhar/1027" TargetMode="External"/><Relationship Id="rId17" Type="http://schemas.openxmlformats.org/officeDocument/2006/relationships/hyperlink" Target="http://www.legis.ac.gov.br/detalhar/294" TargetMode="External"/><Relationship Id="rId25" Type="http://schemas.openxmlformats.org/officeDocument/2006/relationships/hyperlink" Target="http://www.legis.ac.gov.br/detalhar/1816" TargetMode="External"/><Relationship Id="rId33" Type="http://schemas.openxmlformats.org/officeDocument/2006/relationships/hyperlink" Target="http://www.legis.ac.gov.br/detalhar/2831" TargetMode="External"/><Relationship Id="rId2" Type="http://schemas.openxmlformats.org/officeDocument/2006/relationships/hyperlink" Target="https://legis.ac.gov.br/detalhar/6133" TargetMode="External"/><Relationship Id="rId16" Type="http://schemas.openxmlformats.org/officeDocument/2006/relationships/hyperlink" Target="http://www.legis.ac.gov.br/detalhar/466" TargetMode="External"/><Relationship Id="rId20" Type="http://schemas.openxmlformats.org/officeDocument/2006/relationships/hyperlink" Target="http://www.legis.ac.gov.br/detalhar/26" TargetMode="External"/><Relationship Id="rId29" Type="http://schemas.openxmlformats.org/officeDocument/2006/relationships/hyperlink" Target="http://www.legis.ac.gov.br/detalhar/3322" TargetMode="External"/><Relationship Id="rId1" Type="http://schemas.openxmlformats.org/officeDocument/2006/relationships/hyperlink" Target="https://legis.ac.gov.br/detalhar/6528" TargetMode="External"/><Relationship Id="rId6" Type="http://schemas.openxmlformats.org/officeDocument/2006/relationships/hyperlink" Target="http://www.legis.ac.gov.br/detalhar/3373" TargetMode="External"/><Relationship Id="rId11" Type="http://schemas.openxmlformats.org/officeDocument/2006/relationships/hyperlink" Target="http://www.legis.ac.gov.br/detalhar/1304" TargetMode="External"/><Relationship Id="rId24" Type="http://schemas.openxmlformats.org/officeDocument/2006/relationships/hyperlink" Target="http://www.legis.ac.gov.br/detalhar/3766" TargetMode="External"/><Relationship Id="rId32" Type="http://schemas.openxmlformats.org/officeDocument/2006/relationships/hyperlink" Target="http://www.legis.ac.gov.br/detalhar/3161" TargetMode="External"/><Relationship Id="rId5" Type="http://schemas.openxmlformats.org/officeDocument/2006/relationships/hyperlink" Target="http://www.legis.ac.gov.br/detalhar/4707" TargetMode="External"/><Relationship Id="rId15" Type="http://schemas.openxmlformats.org/officeDocument/2006/relationships/hyperlink" Target="http://www.legis.ac.gov.br/detalhar/1935" TargetMode="External"/><Relationship Id="rId23" Type="http://schemas.openxmlformats.org/officeDocument/2006/relationships/hyperlink" Target="http://www.legis.ac.gov.br/detalhar/3830" TargetMode="External"/><Relationship Id="rId28" Type="http://schemas.openxmlformats.org/officeDocument/2006/relationships/hyperlink" Target="http://www.legis.ac.gov.br/detalhar/725" TargetMode="External"/><Relationship Id="rId36" Type="http://schemas.openxmlformats.org/officeDocument/2006/relationships/hyperlink" Target="http://www.legis.ac.gov.br/detalhar/1661" TargetMode="External"/><Relationship Id="rId10" Type="http://schemas.openxmlformats.org/officeDocument/2006/relationships/hyperlink" Target="http://www.legis.ac.gov.br/detalhar/2312" TargetMode="External"/><Relationship Id="rId19" Type="http://schemas.openxmlformats.org/officeDocument/2006/relationships/hyperlink" Target="http://www.legis.ac.gov.br/detalhar/3427" TargetMode="External"/><Relationship Id="rId31" Type="http://schemas.openxmlformats.org/officeDocument/2006/relationships/hyperlink" Target="http://www.legis.ac.gov.br/detalhar/3193" TargetMode="External"/><Relationship Id="rId4" Type="http://schemas.openxmlformats.org/officeDocument/2006/relationships/hyperlink" Target="http://www.legis.ac.gov.br/detalhar/5292" TargetMode="External"/><Relationship Id="rId9" Type="http://schemas.openxmlformats.org/officeDocument/2006/relationships/hyperlink" Target="http://www.legis.ac.gov.br/detalhar/2705" TargetMode="External"/><Relationship Id="rId14" Type="http://schemas.openxmlformats.org/officeDocument/2006/relationships/hyperlink" Target="http://www.legis.ac.gov.br/detalhar/2957" TargetMode="External"/><Relationship Id="rId22" Type="http://schemas.openxmlformats.org/officeDocument/2006/relationships/hyperlink" Target="http://www.legis.ac.gov.br/detalhar/1116" TargetMode="External"/><Relationship Id="rId27" Type="http://schemas.openxmlformats.org/officeDocument/2006/relationships/hyperlink" Target="http://www.legis.ac.gov.br/detalhar/899" TargetMode="External"/><Relationship Id="rId30" Type="http://schemas.openxmlformats.org/officeDocument/2006/relationships/hyperlink" Target="http://www.legis.ac.gov.br/detalhar/3260" TargetMode="External"/><Relationship Id="rId35" Type="http://schemas.openxmlformats.org/officeDocument/2006/relationships/hyperlink" Target="http://www.legis.ac.gov.br/detalhar/2470"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www.legis.ac.gov.br/detalhar/2227" TargetMode="External"/><Relationship Id="rId13" Type="http://schemas.openxmlformats.org/officeDocument/2006/relationships/hyperlink" Target="http://www.legis.ac.gov.br/detalhar/3198" TargetMode="External"/><Relationship Id="rId18" Type="http://schemas.openxmlformats.org/officeDocument/2006/relationships/hyperlink" Target="http://www.legis.ac.gov.br/detalhar/239" TargetMode="External"/><Relationship Id="rId26" Type="http://schemas.openxmlformats.org/officeDocument/2006/relationships/hyperlink" Target="http://www.legis.ac.gov.br/detalhar/1764" TargetMode="External"/><Relationship Id="rId3" Type="http://schemas.openxmlformats.org/officeDocument/2006/relationships/hyperlink" Target="https://legis.ac.gov.br/detalhar/5971" TargetMode="External"/><Relationship Id="rId21" Type="http://schemas.openxmlformats.org/officeDocument/2006/relationships/hyperlink" Target="http://www.legis.ac.gov.br/detalhar/1728" TargetMode="External"/><Relationship Id="rId34" Type="http://schemas.openxmlformats.org/officeDocument/2006/relationships/hyperlink" Target="http://www.legis.ac.gov.br/detalhar/2795" TargetMode="External"/><Relationship Id="rId7" Type="http://schemas.openxmlformats.org/officeDocument/2006/relationships/hyperlink" Target="http://www.legis.ac.gov.br/detalhar/2565" TargetMode="External"/><Relationship Id="rId12" Type="http://schemas.openxmlformats.org/officeDocument/2006/relationships/hyperlink" Target="http://www.legis.ac.gov.br/detalhar/1028" TargetMode="External"/><Relationship Id="rId17" Type="http://schemas.openxmlformats.org/officeDocument/2006/relationships/hyperlink" Target="http://www.legis.ac.gov.br/detalhar/420" TargetMode="External"/><Relationship Id="rId25" Type="http://schemas.openxmlformats.org/officeDocument/2006/relationships/hyperlink" Target="http://www.legis.ac.gov.br/detalhar/3774" TargetMode="External"/><Relationship Id="rId33" Type="http://schemas.openxmlformats.org/officeDocument/2006/relationships/hyperlink" Target="http://www.legis.ac.gov.br/detalhar/4057" TargetMode="External"/><Relationship Id="rId2" Type="http://schemas.openxmlformats.org/officeDocument/2006/relationships/hyperlink" Target="https://legis.ac.gov.br/detalhar/6301" TargetMode="External"/><Relationship Id="rId16" Type="http://schemas.openxmlformats.org/officeDocument/2006/relationships/hyperlink" Target="http://www.legis.ac.gov.br/detalhar/1925" TargetMode="External"/><Relationship Id="rId20" Type="http://schemas.openxmlformats.org/officeDocument/2006/relationships/hyperlink" Target="http://www.legis.ac.gov.br/detalhar/59" TargetMode="External"/><Relationship Id="rId29" Type="http://schemas.openxmlformats.org/officeDocument/2006/relationships/hyperlink" Target="http://www.legis.ac.gov.br/detalhar/708" TargetMode="External"/><Relationship Id="rId1" Type="http://schemas.openxmlformats.org/officeDocument/2006/relationships/hyperlink" Target="https://legis.ac.gov.br/detalhar/6698" TargetMode="External"/><Relationship Id="rId6" Type="http://schemas.openxmlformats.org/officeDocument/2006/relationships/hyperlink" Target="http://www.legis.ac.gov.br/detalhar/4314" TargetMode="External"/><Relationship Id="rId11" Type="http://schemas.openxmlformats.org/officeDocument/2006/relationships/hyperlink" Target="http://www.legis.ac.gov.br/detalhar/2035" TargetMode="External"/><Relationship Id="rId24" Type="http://schemas.openxmlformats.org/officeDocument/2006/relationships/hyperlink" Target="http://www.legis.ac.gov.br/detalhar/3768" TargetMode="External"/><Relationship Id="rId32" Type="http://schemas.openxmlformats.org/officeDocument/2006/relationships/hyperlink" Target="http://www.legis.ac.gov.br/detalhar/3187" TargetMode="External"/><Relationship Id="rId5" Type="http://schemas.openxmlformats.org/officeDocument/2006/relationships/hyperlink" Target="http://www.legis.ac.gov.br/detalhar/5042" TargetMode="External"/><Relationship Id="rId15" Type="http://schemas.openxmlformats.org/officeDocument/2006/relationships/hyperlink" Target="http://www.legis.ac.gov.br/detalhar/2719" TargetMode="External"/><Relationship Id="rId23" Type="http://schemas.openxmlformats.org/officeDocument/2006/relationships/hyperlink" Target="http://www.legis.ac.gov.br/detalhar/1071" TargetMode="External"/><Relationship Id="rId28" Type="http://schemas.openxmlformats.org/officeDocument/2006/relationships/hyperlink" Target="http://www.legis.ac.gov.br/detalhar/870" TargetMode="External"/><Relationship Id="rId36" Type="http://schemas.openxmlformats.org/officeDocument/2006/relationships/hyperlink" Target="http://www.legis.ac.gov.br/detalhar/1695" TargetMode="External"/><Relationship Id="rId10" Type="http://schemas.openxmlformats.org/officeDocument/2006/relationships/hyperlink" Target="http://www.legis.ac.gov.br/detalhar/2382" TargetMode="External"/><Relationship Id="rId19" Type="http://schemas.openxmlformats.org/officeDocument/2006/relationships/hyperlink" Target="http://www.legis.ac.gov.br/detalhar/3483" TargetMode="External"/><Relationship Id="rId31" Type="http://schemas.openxmlformats.org/officeDocument/2006/relationships/hyperlink" Target="http://www.legis.ac.gov.br/detalhar/3247" TargetMode="External"/><Relationship Id="rId4" Type="http://schemas.openxmlformats.org/officeDocument/2006/relationships/hyperlink" Target="http://www.legis.ac.gov.br/detalhar/5476" TargetMode="External"/><Relationship Id="rId9" Type="http://schemas.openxmlformats.org/officeDocument/2006/relationships/hyperlink" Target="http://www.legis.ac.gov.br/detalhar/2097" TargetMode="External"/><Relationship Id="rId14" Type="http://schemas.openxmlformats.org/officeDocument/2006/relationships/hyperlink" Target="http://www.legis.ac.gov.br/detalhar/3003" TargetMode="External"/><Relationship Id="rId22" Type="http://schemas.openxmlformats.org/officeDocument/2006/relationships/hyperlink" Target="http://www.legis.ac.gov.br/detalhar/1410" TargetMode="External"/><Relationship Id="rId27" Type="http://schemas.openxmlformats.org/officeDocument/2006/relationships/hyperlink" Target="http://www.legis.ac.gov.br/detalhar/921" TargetMode="External"/><Relationship Id="rId30" Type="http://schemas.openxmlformats.org/officeDocument/2006/relationships/hyperlink" Target="http://www.legis.ac.gov.br/detalhar/3313" TargetMode="External"/><Relationship Id="rId35" Type="http://schemas.openxmlformats.org/officeDocument/2006/relationships/hyperlink" Target="http://www.legis.ac.gov.br/detalhar/265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841"/>
  <sheetViews>
    <sheetView topLeftCell="A124" zoomScaleNormal="100" workbookViewId="0"/>
  </sheetViews>
  <sheetFormatPr defaultColWidth="14.42578125" defaultRowHeight="15" customHeight="1"/>
  <cols>
    <col min="1" max="1" width="13.85546875" customWidth="1"/>
    <col min="2" max="2" width="47.85546875" customWidth="1"/>
    <col min="3" max="3" width="211" customWidth="1"/>
    <col min="4" max="26" width="8.7109375" customWidth="1"/>
  </cols>
  <sheetData>
    <row r="1" spans="1:3">
      <c r="B1" s="2" t="s">
        <v>0</v>
      </c>
      <c r="C1" s="2" t="s">
        <v>1</v>
      </c>
    </row>
    <row r="2" spans="1:3">
      <c r="A2" s="1"/>
      <c r="B2" s="3"/>
      <c r="C2" s="2" t="s">
        <v>4</v>
      </c>
    </row>
    <row r="3" spans="1:3">
      <c r="A3" s="1" t="s">
        <v>2</v>
      </c>
      <c r="B3" s="4">
        <v>46238</v>
      </c>
    </row>
    <row r="4" spans="1:3">
      <c r="A4" s="2" t="s">
        <v>3</v>
      </c>
      <c r="B4" s="4"/>
    </row>
    <row r="5" spans="1:3">
      <c r="B5" s="5" t="s">
        <v>8</v>
      </c>
      <c r="C5" s="5" t="s">
        <v>6</v>
      </c>
    </row>
    <row r="6" spans="1:3" ht="15.75" customHeight="1">
      <c r="A6" s="6"/>
      <c r="B6" s="7"/>
      <c r="C6" s="8"/>
    </row>
    <row r="7" spans="1:3" ht="15.75" customHeight="1">
      <c r="A7" s="6"/>
      <c r="B7" s="7"/>
      <c r="C7" s="8"/>
    </row>
    <row r="8" spans="1:3" ht="15.75" customHeight="1">
      <c r="A8" s="13">
        <f t="shared" ref="A8:A148" si="0">1+A9</f>
        <v>142</v>
      </c>
      <c r="B8" s="14" t="s">
        <v>20</v>
      </c>
      <c r="C8" s="15" t="s">
        <v>30</v>
      </c>
    </row>
    <row r="9" spans="1:3" ht="15.75" customHeight="1">
      <c r="A9" s="13">
        <f t="shared" si="0"/>
        <v>141</v>
      </c>
      <c r="B9" s="14" t="s">
        <v>33</v>
      </c>
      <c r="C9" s="18" t="s">
        <v>39</v>
      </c>
    </row>
    <row r="10" spans="1:3" ht="15.75" customHeight="1">
      <c r="A10" s="13">
        <f t="shared" si="0"/>
        <v>140</v>
      </c>
      <c r="B10" s="14" t="s">
        <v>41</v>
      </c>
      <c r="C10" s="15" t="s">
        <v>45</v>
      </c>
    </row>
    <row r="11" spans="1:3" ht="15.75" customHeight="1">
      <c r="A11" s="13">
        <f t="shared" si="0"/>
        <v>139</v>
      </c>
      <c r="B11" s="14" t="s">
        <v>47</v>
      </c>
      <c r="C11" s="15" t="s">
        <v>51</v>
      </c>
    </row>
    <row r="12" spans="1:3" ht="15.75" customHeight="1">
      <c r="A12" s="13">
        <f t="shared" si="0"/>
        <v>138</v>
      </c>
      <c r="B12" s="14" t="s">
        <v>52</v>
      </c>
      <c r="C12" s="15" t="s">
        <v>55</v>
      </c>
    </row>
    <row r="13" spans="1:3" ht="15.75" customHeight="1">
      <c r="A13" s="13">
        <f t="shared" si="0"/>
        <v>137</v>
      </c>
      <c r="B13" s="14" t="s">
        <v>59</v>
      </c>
      <c r="C13" s="15" t="s">
        <v>65</v>
      </c>
    </row>
    <row r="14" spans="1:3" ht="15.75" customHeight="1">
      <c r="A14" s="13">
        <f t="shared" si="0"/>
        <v>136</v>
      </c>
      <c r="B14" s="14" t="s">
        <v>67</v>
      </c>
      <c r="C14" s="15" t="s">
        <v>74</v>
      </c>
    </row>
    <row r="15" spans="1:3" ht="15.75" customHeight="1">
      <c r="A15" s="13">
        <f t="shared" si="0"/>
        <v>135</v>
      </c>
      <c r="B15" s="14" t="s">
        <v>76</v>
      </c>
      <c r="C15" s="15" t="s">
        <v>81</v>
      </c>
    </row>
    <row r="16" spans="1:3" ht="15.75" customHeight="1">
      <c r="A16" s="13">
        <f t="shared" si="0"/>
        <v>134</v>
      </c>
      <c r="B16" s="14" t="s">
        <v>84</v>
      </c>
      <c r="C16" s="15" t="s">
        <v>90</v>
      </c>
    </row>
    <row r="17" spans="1:3" ht="15.75" customHeight="1">
      <c r="A17" s="13">
        <f t="shared" si="0"/>
        <v>133</v>
      </c>
      <c r="B17" s="14" t="s">
        <v>93</v>
      </c>
      <c r="C17" s="15" t="s">
        <v>98</v>
      </c>
    </row>
    <row r="18" spans="1:3" ht="15.75" customHeight="1">
      <c r="A18" s="13">
        <f t="shared" si="0"/>
        <v>132</v>
      </c>
      <c r="B18" s="14" t="s">
        <v>100</v>
      </c>
      <c r="C18" s="15" t="s">
        <v>39</v>
      </c>
    </row>
    <row r="19" spans="1:3" ht="15.75" customHeight="1">
      <c r="A19" s="13">
        <f t="shared" si="0"/>
        <v>131</v>
      </c>
      <c r="B19" s="14" t="s">
        <v>106</v>
      </c>
      <c r="C19" s="15" t="s">
        <v>110</v>
      </c>
    </row>
    <row r="20" spans="1:3" ht="15.75" customHeight="1">
      <c r="A20" s="13">
        <f t="shared" si="0"/>
        <v>130</v>
      </c>
      <c r="B20" s="14" t="s">
        <v>114</v>
      </c>
      <c r="C20" s="15" t="s">
        <v>120</v>
      </c>
    </row>
    <row r="21" spans="1:3" ht="15.75" customHeight="1">
      <c r="A21" s="13">
        <f t="shared" si="0"/>
        <v>129</v>
      </c>
      <c r="B21" s="14" t="s">
        <v>121</v>
      </c>
      <c r="C21" s="15" t="s">
        <v>127</v>
      </c>
    </row>
    <row r="22" spans="1:3" ht="15.75" customHeight="1">
      <c r="A22" s="13">
        <f t="shared" si="0"/>
        <v>128</v>
      </c>
      <c r="B22" s="14" t="s">
        <v>128</v>
      </c>
      <c r="C22" s="15" t="s">
        <v>134</v>
      </c>
    </row>
    <row r="23" spans="1:3" ht="15.75" customHeight="1">
      <c r="A23" s="13">
        <f t="shared" si="0"/>
        <v>127</v>
      </c>
      <c r="B23" s="14" t="s">
        <v>139</v>
      </c>
      <c r="C23" s="15" t="s">
        <v>142</v>
      </c>
    </row>
    <row r="24" spans="1:3" ht="15.75" customHeight="1">
      <c r="A24" s="13">
        <f t="shared" si="0"/>
        <v>126</v>
      </c>
      <c r="B24" s="14" t="s">
        <v>146</v>
      </c>
      <c r="C24" s="15" t="s">
        <v>151</v>
      </c>
    </row>
    <row r="25" spans="1:3" ht="15.75" customHeight="1">
      <c r="A25" s="13">
        <f t="shared" si="0"/>
        <v>125</v>
      </c>
      <c r="B25" s="14" t="s">
        <v>156</v>
      </c>
      <c r="C25" s="15" t="s">
        <v>160</v>
      </c>
    </row>
    <row r="26" spans="1:3" ht="15.75" customHeight="1">
      <c r="A26" s="13">
        <f t="shared" si="0"/>
        <v>124</v>
      </c>
      <c r="B26" s="14" t="s">
        <v>164</v>
      </c>
      <c r="C26" s="18" t="s">
        <v>166</v>
      </c>
    </row>
    <row r="27" spans="1:3" ht="15.75" customHeight="1">
      <c r="A27" s="13">
        <f t="shared" si="0"/>
        <v>123</v>
      </c>
      <c r="B27" s="14" t="s">
        <v>170</v>
      </c>
      <c r="C27" s="15" t="s">
        <v>174</v>
      </c>
    </row>
    <row r="28" spans="1:3" ht="15.75" customHeight="1">
      <c r="A28" s="13">
        <f t="shared" si="0"/>
        <v>122</v>
      </c>
      <c r="B28" s="14" t="s">
        <v>176</v>
      </c>
      <c r="C28" s="15" t="s">
        <v>180</v>
      </c>
    </row>
    <row r="29" spans="1:3">
      <c r="A29" s="13">
        <f t="shared" si="0"/>
        <v>121</v>
      </c>
      <c r="B29" s="14" t="s">
        <v>183</v>
      </c>
      <c r="C29" s="15" t="s">
        <v>188</v>
      </c>
    </row>
    <row r="30" spans="1:3" ht="15.75" customHeight="1">
      <c r="A30" s="13">
        <f t="shared" si="0"/>
        <v>120</v>
      </c>
      <c r="B30" s="14" t="s">
        <v>190</v>
      </c>
      <c r="C30" s="15" t="s">
        <v>194</v>
      </c>
    </row>
    <row r="31" spans="1:3" ht="15.75" customHeight="1">
      <c r="A31" s="13">
        <f t="shared" si="0"/>
        <v>119</v>
      </c>
      <c r="B31" s="14" t="s">
        <v>196</v>
      </c>
      <c r="C31" s="15" t="s">
        <v>199</v>
      </c>
    </row>
    <row r="32" spans="1:3" ht="15.75" customHeight="1">
      <c r="A32" s="13">
        <f t="shared" si="0"/>
        <v>118</v>
      </c>
      <c r="B32" s="14" t="s">
        <v>200</v>
      </c>
      <c r="C32" s="15" t="s">
        <v>204</v>
      </c>
    </row>
    <row r="33" spans="1:3" ht="15.75" customHeight="1">
      <c r="A33" s="13">
        <f t="shared" si="0"/>
        <v>117</v>
      </c>
      <c r="B33" s="14" t="s">
        <v>205</v>
      </c>
      <c r="C33" s="15" t="s">
        <v>208</v>
      </c>
    </row>
    <row r="34" spans="1:3" ht="15.75" customHeight="1">
      <c r="A34" s="13">
        <f t="shared" si="0"/>
        <v>116</v>
      </c>
      <c r="B34" s="14" t="s">
        <v>209</v>
      </c>
      <c r="C34" s="15" t="s">
        <v>212</v>
      </c>
    </row>
    <row r="35" spans="1:3">
      <c r="A35" s="13">
        <f t="shared" si="0"/>
        <v>115</v>
      </c>
      <c r="B35" s="14" t="s">
        <v>213</v>
      </c>
      <c r="C35" s="15" t="s">
        <v>215</v>
      </c>
    </row>
    <row r="36" spans="1:3" ht="15.75" customHeight="1">
      <c r="A36" s="13">
        <f t="shared" si="0"/>
        <v>114</v>
      </c>
      <c r="B36" s="14" t="s">
        <v>217</v>
      </c>
      <c r="C36" s="15" t="s">
        <v>220</v>
      </c>
    </row>
    <row r="37" spans="1:3" ht="15.75" customHeight="1">
      <c r="A37" s="13">
        <f t="shared" si="0"/>
        <v>113</v>
      </c>
      <c r="B37" s="14" t="s">
        <v>221</v>
      </c>
      <c r="C37" s="18" t="s">
        <v>224</v>
      </c>
    </row>
    <row r="38" spans="1:3" ht="15.75" customHeight="1">
      <c r="A38" s="13">
        <f t="shared" si="0"/>
        <v>112</v>
      </c>
      <c r="B38" s="14" t="s">
        <v>226</v>
      </c>
      <c r="C38" s="15" t="s">
        <v>228</v>
      </c>
    </row>
    <row r="39" spans="1:3" ht="15.75" customHeight="1">
      <c r="A39" s="13">
        <f t="shared" si="0"/>
        <v>111</v>
      </c>
      <c r="B39" s="14" t="s">
        <v>230</v>
      </c>
      <c r="C39" s="15" t="s">
        <v>232</v>
      </c>
    </row>
    <row r="40" spans="1:3" ht="15.75" customHeight="1">
      <c r="A40" s="13">
        <f t="shared" si="0"/>
        <v>110</v>
      </c>
      <c r="B40" s="14" t="s">
        <v>233</v>
      </c>
      <c r="C40" s="15" t="s">
        <v>238</v>
      </c>
    </row>
    <row r="41" spans="1:3" ht="15.75" customHeight="1">
      <c r="A41" s="13">
        <f t="shared" si="0"/>
        <v>109</v>
      </c>
      <c r="B41" s="14" t="s">
        <v>239</v>
      </c>
      <c r="C41" s="15" t="s">
        <v>242</v>
      </c>
    </row>
    <row r="42" spans="1:3" ht="15.75" customHeight="1">
      <c r="A42" s="13">
        <f t="shared" si="0"/>
        <v>108</v>
      </c>
      <c r="B42" s="14" t="s">
        <v>243</v>
      </c>
      <c r="C42" s="15" t="s">
        <v>248</v>
      </c>
    </row>
    <row r="43" spans="1:3" ht="15.75" customHeight="1">
      <c r="A43" s="13">
        <f t="shared" si="0"/>
        <v>107</v>
      </c>
      <c r="B43" s="14" t="s">
        <v>249</v>
      </c>
      <c r="C43" s="18" t="s">
        <v>253</v>
      </c>
    </row>
    <row r="44" spans="1:3" ht="15.75" customHeight="1">
      <c r="A44" s="13">
        <f t="shared" si="0"/>
        <v>106</v>
      </c>
      <c r="B44" s="14" t="s">
        <v>254</v>
      </c>
      <c r="C44" s="15" t="s">
        <v>258</v>
      </c>
    </row>
    <row r="45" spans="1:3" ht="15.75" customHeight="1">
      <c r="A45" s="13">
        <f t="shared" si="0"/>
        <v>105</v>
      </c>
      <c r="B45" s="14" t="s">
        <v>260</v>
      </c>
      <c r="C45" s="18" t="s">
        <v>263</v>
      </c>
    </row>
    <row r="46" spans="1:3" ht="15.75" customHeight="1">
      <c r="A46" s="13">
        <f t="shared" si="0"/>
        <v>104</v>
      </c>
      <c r="B46" s="14" t="s">
        <v>265</v>
      </c>
      <c r="C46" s="15" t="s">
        <v>268</v>
      </c>
    </row>
    <row r="47" spans="1:3">
      <c r="A47" s="13">
        <f t="shared" si="0"/>
        <v>103</v>
      </c>
      <c r="B47" s="14" t="s">
        <v>270</v>
      </c>
      <c r="C47" s="15" t="s">
        <v>273</v>
      </c>
    </row>
    <row r="48" spans="1:3">
      <c r="A48" s="13">
        <f t="shared" si="0"/>
        <v>102</v>
      </c>
      <c r="B48" s="14" t="s">
        <v>274</v>
      </c>
      <c r="C48" s="15" t="s">
        <v>281</v>
      </c>
    </row>
    <row r="49" spans="1:3" ht="15.75" customHeight="1">
      <c r="A49" s="13">
        <f t="shared" si="0"/>
        <v>101</v>
      </c>
      <c r="B49" s="14" t="s">
        <v>284</v>
      </c>
      <c r="C49" s="15" t="s">
        <v>289</v>
      </c>
    </row>
    <row r="50" spans="1:3" ht="15.75" customHeight="1">
      <c r="A50" s="13">
        <f t="shared" si="0"/>
        <v>100</v>
      </c>
      <c r="B50" s="14" t="s">
        <v>290</v>
      </c>
      <c r="C50" s="15" t="s">
        <v>296</v>
      </c>
    </row>
    <row r="51" spans="1:3" ht="15.75" customHeight="1">
      <c r="A51" s="13">
        <f t="shared" si="0"/>
        <v>99</v>
      </c>
      <c r="B51" s="14" t="s">
        <v>297</v>
      </c>
      <c r="C51" s="18" t="s">
        <v>301</v>
      </c>
    </row>
    <row r="52" spans="1:3">
      <c r="A52" s="13">
        <f t="shared" si="0"/>
        <v>98</v>
      </c>
      <c r="B52" s="14" t="s">
        <v>303</v>
      </c>
      <c r="C52" s="15" t="s">
        <v>307</v>
      </c>
    </row>
    <row r="53" spans="1:3" ht="15.75" customHeight="1">
      <c r="A53" s="13">
        <f t="shared" si="0"/>
        <v>97</v>
      </c>
      <c r="B53" s="14" t="s">
        <v>309</v>
      </c>
      <c r="C53" s="15" t="s">
        <v>313</v>
      </c>
    </row>
    <row r="54" spans="1:3" ht="15.75" customHeight="1">
      <c r="A54" s="13">
        <f t="shared" si="0"/>
        <v>96</v>
      </c>
      <c r="B54" s="14" t="s">
        <v>314</v>
      </c>
      <c r="C54" s="15" t="s">
        <v>318</v>
      </c>
    </row>
    <row r="55" spans="1:3">
      <c r="A55" s="13">
        <f t="shared" si="0"/>
        <v>95</v>
      </c>
      <c r="B55" s="14" t="s">
        <v>321</v>
      </c>
      <c r="C55" s="15" t="s">
        <v>307</v>
      </c>
    </row>
    <row r="56" spans="1:3" ht="15.75" customHeight="1">
      <c r="A56" s="13">
        <f t="shared" si="0"/>
        <v>94</v>
      </c>
      <c r="B56" s="14" t="s">
        <v>324</v>
      </c>
      <c r="C56" s="15" t="s">
        <v>56</v>
      </c>
    </row>
    <row r="57" spans="1:3" ht="15.75" customHeight="1">
      <c r="A57" s="13">
        <f t="shared" si="0"/>
        <v>93</v>
      </c>
      <c r="B57" s="14" t="s">
        <v>330</v>
      </c>
      <c r="C57" s="15" t="s">
        <v>335</v>
      </c>
    </row>
    <row r="58" spans="1:3" ht="15.75" customHeight="1">
      <c r="A58" s="13">
        <f t="shared" si="0"/>
        <v>92</v>
      </c>
      <c r="B58" s="14" t="s">
        <v>337</v>
      </c>
      <c r="C58" s="15" t="s">
        <v>340</v>
      </c>
    </row>
    <row r="59" spans="1:3" ht="15.75" customHeight="1">
      <c r="A59" s="13">
        <f t="shared" si="0"/>
        <v>91</v>
      </c>
      <c r="B59" s="14" t="s">
        <v>341</v>
      </c>
      <c r="C59" s="15" t="s">
        <v>347</v>
      </c>
    </row>
    <row r="60" spans="1:3" ht="15.75" customHeight="1">
      <c r="A60" s="13">
        <f t="shared" si="0"/>
        <v>90</v>
      </c>
      <c r="B60" s="14" t="s">
        <v>348</v>
      </c>
      <c r="C60" s="15" t="s">
        <v>353</v>
      </c>
    </row>
    <row r="61" spans="1:3" ht="15.75" customHeight="1">
      <c r="A61" s="13">
        <f t="shared" si="0"/>
        <v>89</v>
      </c>
      <c r="B61" s="14" t="s">
        <v>354</v>
      </c>
      <c r="C61" s="15" t="s">
        <v>361</v>
      </c>
    </row>
    <row r="62" spans="1:3" ht="15.75" customHeight="1">
      <c r="A62" s="13">
        <f t="shared" si="0"/>
        <v>88</v>
      </c>
      <c r="B62" s="14" t="s">
        <v>362</v>
      </c>
      <c r="C62" s="15" t="s">
        <v>368</v>
      </c>
    </row>
    <row r="63" spans="1:3" ht="15.75" customHeight="1">
      <c r="A63" s="13">
        <f t="shared" si="0"/>
        <v>87</v>
      </c>
      <c r="B63" s="14" t="s">
        <v>371</v>
      </c>
      <c r="C63" s="15" t="s">
        <v>374</v>
      </c>
    </row>
    <row r="64" spans="1:3" ht="15.75" customHeight="1">
      <c r="A64" s="13">
        <f t="shared" si="0"/>
        <v>86</v>
      </c>
      <c r="B64" s="14" t="s">
        <v>377</v>
      </c>
      <c r="C64" s="15" t="s">
        <v>382</v>
      </c>
    </row>
    <row r="65" spans="1:3" ht="15.75" customHeight="1">
      <c r="A65" s="13">
        <f t="shared" si="0"/>
        <v>85</v>
      </c>
      <c r="B65" s="14" t="s">
        <v>383</v>
      </c>
      <c r="C65" s="15" t="s">
        <v>385</v>
      </c>
    </row>
    <row r="66" spans="1:3" ht="15.75" customHeight="1">
      <c r="A66" s="13">
        <f t="shared" si="0"/>
        <v>84</v>
      </c>
      <c r="B66" s="14" t="s">
        <v>388</v>
      </c>
      <c r="C66" s="15" t="s">
        <v>391</v>
      </c>
    </row>
    <row r="67" spans="1:3" ht="15.75" customHeight="1">
      <c r="A67" s="13">
        <f t="shared" si="0"/>
        <v>83</v>
      </c>
      <c r="B67" s="14" t="s">
        <v>393</v>
      </c>
      <c r="C67" s="15" t="s">
        <v>396</v>
      </c>
    </row>
    <row r="68" spans="1:3" ht="15.75" customHeight="1">
      <c r="A68" s="13">
        <f t="shared" si="0"/>
        <v>82</v>
      </c>
      <c r="B68" s="14" t="s">
        <v>397</v>
      </c>
      <c r="C68" s="15" t="s">
        <v>401</v>
      </c>
    </row>
    <row r="69" spans="1:3" ht="15.75" customHeight="1">
      <c r="A69" s="13">
        <f t="shared" si="0"/>
        <v>81</v>
      </c>
      <c r="B69" s="14" t="s">
        <v>402</v>
      </c>
      <c r="C69" s="15" t="s">
        <v>406</v>
      </c>
    </row>
    <row r="70" spans="1:3">
      <c r="A70" s="13">
        <f t="shared" si="0"/>
        <v>80</v>
      </c>
      <c r="B70" s="14" t="s">
        <v>407</v>
      </c>
      <c r="C70" s="15" t="s">
        <v>410</v>
      </c>
    </row>
    <row r="71" spans="1:3">
      <c r="A71" s="13">
        <f t="shared" si="0"/>
        <v>79</v>
      </c>
      <c r="B71" s="14" t="s">
        <v>411</v>
      </c>
      <c r="C71" s="15" t="s">
        <v>415</v>
      </c>
    </row>
    <row r="72" spans="1:3" ht="15.75" customHeight="1">
      <c r="A72" s="13">
        <f t="shared" si="0"/>
        <v>78</v>
      </c>
      <c r="B72" s="14" t="s">
        <v>416</v>
      </c>
      <c r="C72" s="15" t="s">
        <v>419</v>
      </c>
    </row>
    <row r="73" spans="1:3">
      <c r="A73" s="13">
        <f t="shared" si="0"/>
        <v>77</v>
      </c>
      <c r="B73" s="14" t="s">
        <v>420</v>
      </c>
      <c r="C73" s="15" t="s">
        <v>423</v>
      </c>
    </row>
    <row r="74" spans="1:3" ht="15.75" customHeight="1">
      <c r="A74" s="13">
        <f t="shared" si="0"/>
        <v>76</v>
      </c>
      <c r="B74" s="14" t="s">
        <v>425</v>
      </c>
      <c r="C74" s="15" t="s">
        <v>428</v>
      </c>
    </row>
    <row r="75" spans="1:3" ht="15.75" customHeight="1">
      <c r="A75" s="13">
        <f t="shared" si="0"/>
        <v>75</v>
      </c>
      <c r="B75" s="14" t="s">
        <v>429</v>
      </c>
      <c r="C75" s="15" t="s">
        <v>432</v>
      </c>
    </row>
    <row r="76" spans="1:3" ht="15.75" customHeight="1">
      <c r="A76" s="13">
        <f t="shared" si="0"/>
        <v>74</v>
      </c>
      <c r="B76" s="14" t="s">
        <v>435</v>
      </c>
      <c r="C76" s="15" t="s">
        <v>437</v>
      </c>
    </row>
    <row r="77" spans="1:3" ht="15.75" customHeight="1">
      <c r="A77" s="13">
        <f t="shared" si="0"/>
        <v>73</v>
      </c>
      <c r="B77" s="14" t="s">
        <v>439</v>
      </c>
      <c r="C77" s="15" t="s">
        <v>442</v>
      </c>
    </row>
    <row r="78" spans="1:3" ht="15.75" customHeight="1">
      <c r="A78" s="13">
        <f t="shared" si="0"/>
        <v>72</v>
      </c>
      <c r="B78" s="14" t="s">
        <v>443</v>
      </c>
      <c r="C78" s="15" t="s">
        <v>449</v>
      </c>
    </row>
    <row r="79" spans="1:3" ht="15.75" customHeight="1">
      <c r="A79" s="13">
        <f t="shared" si="0"/>
        <v>71</v>
      </c>
      <c r="B79" s="14" t="s">
        <v>450</v>
      </c>
      <c r="C79" s="15" t="s">
        <v>453</v>
      </c>
    </row>
    <row r="80" spans="1:3" ht="15.75" customHeight="1">
      <c r="A80" s="13">
        <f t="shared" si="0"/>
        <v>70</v>
      </c>
      <c r="B80" s="14" t="s">
        <v>454</v>
      </c>
      <c r="C80" s="15" t="s">
        <v>459</v>
      </c>
    </row>
    <row r="81" spans="1:3" ht="15.75" customHeight="1">
      <c r="A81" s="13">
        <f t="shared" si="0"/>
        <v>69</v>
      </c>
      <c r="B81" s="14" t="s">
        <v>460</v>
      </c>
      <c r="C81" s="15" t="s">
        <v>462</v>
      </c>
    </row>
    <row r="82" spans="1:3" ht="15.75" customHeight="1">
      <c r="A82" s="13">
        <f t="shared" si="0"/>
        <v>68</v>
      </c>
      <c r="B82" s="14" t="s">
        <v>464</v>
      </c>
      <c r="C82" s="15" t="s">
        <v>432</v>
      </c>
    </row>
    <row r="83" spans="1:3" ht="15.75" customHeight="1">
      <c r="A83" s="13">
        <f t="shared" si="0"/>
        <v>67</v>
      </c>
      <c r="B83" s="14" t="s">
        <v>467</v>
      </c>
      <c r="C83" s="15" t="s">
        <v>442</v>
      </c>
    </row>
    <row r="84" spans="1:3" ht="15.75" customHeight="1">
      <c r="A84" s="13">
        <f t="shared" si="0"/>
        <v>66</v>
      </c>
      <c r="B84" s="14" t="s">
        <v>469</v>
      </c>
      <c r="C84" s="15" t="s">
        <v>449</v>
      </c>
    </row>
    <row r="85" spans="1:3" ht="15.75" customHeight="1">
      <c r="A85" s="13">
        <f t="shared" si="0"/>
        <v>65</v>
      </c>
      <c r="B85" s="14" t="s">
        <v>472</v>
      </c>
      <c r="C85" s="15" t="s">
        <v>475</v>
      </c>
    </row>
    <row r="86" spans="1:3" ht="15.75" customHeight="1">
      <c r="A86" s="13">
        <f t="shared" si="0"/>
        <v>64</v>
      </c>
      <c r="B86" s="14" t="s">
        <v>477</v>
      </c>
      <c r="C86" s="15" t="s">
        <v>481</v>
      </c>
    </row>
    <row r="87" spans="1:3" ht="15.75" customHeight="1">
      <c r="A87" s="13">
        <f t="shared" si="0"/>
        <v>63</v>
      </c>
      <c r="B87" s="14" t="s">
        <v>482</v>
      </c>
      <c r="C87" s="15" t="s">
        <v>485</v>
      </c>
    </row>
    <row r="88" spans="1:3" ht="15.75" customHeight="1">
      <c r="A88" s="13">
        <f t="shared" si="0"/>
        <v>62</v>
      </c>
      <c r="B88" s="14" t="s">
        <v>487</v>
      </c>
      <c r="C88" s="15" t="s">
        <v>490</v>
      </c>
    </row>
    <row r="89" spans="1:3" ht="15.75" customHeight="1">
      <c r="A89" s="13">
        <f t="shared" si="0"/>
        <v>61</v>
      </c>
      <c r="B89" s="14" t="s">
        <v>491</v>
      </c>
      <c r="C89" s="15" t="s">
        <v>496</v>
      </c>
    </row>
    <row r="90" spans="1:3" ht="15.75" customHeight="1">
      <c r="A90" s="13">
        <f t="shared" si="0"/>
        <v>60</v>
      </c>
      <c r="B90" s="14" t="s">
        <v>498</v>
      </c>
      <c r="C90" s="15" t="s">
        <v>500</v>
      </c>
    </row>
    <row r="91" spans="1:3" ht="15.75" customHeight="1">
      <c r="A91" s="13">
        <f t="shared" si="0"/>
        <v>59</v>
      </c>
      <c r="B91" s="14" t="s">
        <v>502</v>
      </c>
      <c r="C91" s="15" t="s">
        <v>505</v>
      </c>
    </row>
    <row r="92" spans="1:3" ht="15.75" customHeight="1">
      <c r="A92" s="13">
        <f t="shared" si="0"/>
        <v>58</v>
      </c>
      <c r="B92" s="14" t="s">
        <v>507</v>
      </c>
      <c r="C92" s="15" t="s">
        <v>510</v>
      </c>
    </row>
    <row r="93" spans="1:3" ht="15.75" customHeight="1">
      <c r="A93" s="13">
        <f t="shared" si="0"/>
        <v>57</v>
      </c>
      <c r="B93" s="14" t="s">
        <v>513</v>
      </c>
      <c r="C93" s="15" t="s">
        <v>516</v>
      </c>
    </row>
    <row r="94" spans="1:3" ht="15.75" customHeight="1">
      <c r="A94" s="13">
        <f t="shared" si="0"/>
        <v>56</v>
      </c>
      <c r="B94" s="14" t="s">
        <v>518</v>
      </c>
      <c r="C94" s="15" t="s">
        <v>522</v>
      </c>
    </row>
    <row r="95" spans="1:3" ht="15.75" customHeight="1">
      <c r="A95" s="13">
        <f t="shared" si="0"/>
        <v>55</v>
      </c>
      <c r="B95" s="14" t="s">
        <v>524</v>
      </c>
      <c r="C95" s="15" t="s">
        <v>528</v>
      </c>
    </row>
    <row r="96" spans="1:3" ht="15.75" customHeight="1">
      <c r="A96" s="13">
        <f t="shared" si="0"/>
        <v>54</v>
      </c>
      <c r="B96" s="14" t="s">
        <v>532</v>
      </c>
      <c r="C96" s="15" t="s">
        <v>534</v>
      </c>
    </row>
    <row r="97" spans="1:3" ht="15.75" customHeight="1">
      <c r="A97" s="13">
        <f t="shared" si="0"/>
        <v>53</v>
      </c>
      <c r="B97" s="14" t="s">
        <v>536</v>
      </c>
      <c r="C97" s="15" t="s">
        <v>543</v>
      </c>
    </row>
    <row r="98" spans="1:3" ht="15.75" customHeight="1">
      <c r="A98" s="13">
        <f t="shared" si="0"/>
        <v>52</v>
      </c>
      <c r="B98" s="24" t="s">
        <v>546</v>
      </c>
      <c r="C98" s="15" t="s">
        <v>551</v>
      </c>
    </row>
    <row r="99" spans="1:3" ht="15.75" customHeight="1">
      <c r="A99" s="13">
        <f t="shared" si="0"/>
        <v>51</v>
      </c>
      <c r="B99" s="14" t="s">
        <v>552</v>
      </c>
      <c r="C99" s="15" t="s">
        <v>555</v>
      </c>
    </row>
    <row r="100" spans="1:3">
      <c r="A100" s="13">
        <f t="shared" si="0"/>
        <v>50</v>
      </c>
      <c r="B100" s="14" t="s">
        <v>557</v>
      </c>
      <c r="C100" s="15" t="s">
        <v>562</v>
      </c>
    </row>
    <row r="101" spans="1:3" ht="15.75" customHeight="1">
      <c r="A101" s="13">
        <f t="shared" si="0"/>
        <v>49</v>
      </c>
      <c r="B101" s="14" t="s">
        <v>563</v>
      </c>
      <c r="C101" s="15" t="s">
        <v>566</v>
      </c>
    </row>
    <row r="102" spans="1:3" ht="15.75" customHeight="1">
      <c r="A102" s="13">
        <f t="shared" si="0"/>
        <v>48</v>
      </c>
      <c r="B102" s="14" t="s">
        <v>568</v>
      </c>
      <c r="C102" s="15" t="s">
        <v>573</v>
      </c>
    </row>
    <row r="103" spans="1:3" ht="15.75" customHeight="1">
      <c r="A103" s="13">
        <f t="shared" si="0"/>
        <v>47</v>
      </c>
      <c r="B103" s="14" t="s">
        <v>574</v>
      </c>
      <c r="C103" s="15" t="s">
        <v>577</v>
      </c>
    </row>
    <row r="104" spans="1:3" ht="15.75" customHeight="1">
      <c r="A104" s="13">
        <f t="shared" si="0"/>
        <v>46</v>
      </c>
      <c r="B104" s="14" t="s">
        <v>578</v>
      </c>
      <c r="C104" s="15" t="s">
        <v>583</v>
      </c>
    </row>
    <row r="105" spans="1:3" ht="15.75" customHeight="1">
      <c r="A105" s="13">
        <f t="shared" si="0"/>
        <v>45</v>
      </c>
      <c r="B105" s="14" t="s">
        <v>585</v>
      </c>
      <c r="C105" s="15" t="s">
        <v>588</v>
      </c>
    </row>
    <row r="106" spans="1:3" ht="15.75" customHeight="1">
      <c r="A106" s="13">
        <f t="shared" si="0"/>
        <v>44</v>
      </c>
      <c r="B106" s="14" t="s">
        <v>591</v>
      </c>
      <c r="C106" s="15" t="s">
        <v>594</v>
      </c>
    </row>
    <row r="107" spans="1:3" ht="15.75" customHeight="1">
      <c r="A107" s="13">
        <f t="shared" si="0"/>
        <v>43</v>
      </c>
      <c r="B107" s="14" t="s">
        <v>596</v>
      </c>
      <c r="C107" s="15" t="s">
        <v>599</v>
      </c>
    </row>
    <row r="108" spans="1:3" ht="15.75" customHeight="1">
      <c r="A108" s="13">
        <f t="shared" si="0"/>
        <v>42</v>
      </c>
      <c r="B108" s="14" t="s">
        <v>600</v>
      </c>
      <c r="C108" s="15" t="s">
        <v>605</v>
      </c>
    </row>
    <row r="109" spans="1:3" ht="15.75" customHeight="1">
      <c r="A109" s="13">
        <f t="shared" si="0"/>
        <v>41</v>
      </c>
      <c r="B109" s="14" t="s">
        <v>606</v>
      </c>
      <c r="C109" s="15" t="s">
        <v>608</v>
      </c>
    </row>
    <row r="110" spans="1:3" ht="15.75" customHeight="1">
      <c r="A110" s="13">
        <f t="shared" si="0"/>
        <v>40</v>
      </c>
      <c r="B110" s="14" t="s">
        <v>610</v>
      </c>
      <c r="C110" s="15" t="s">
        <v>611</v>
      </c>
    </row>
    <row r="111" spans="1:3" ht="15.75" customHeight="1">
      <c r="A111" s="13">
        <f t="shared" si="0"/>
        <v>39</v>
      </c>
      <c r="B111" s="14" t="s">
        <v>613</v>
      </c>
      <c r="C111" s="15" t="s">
        <v>615</v>
      </c>
    </row>
    <row r="112" spans="1:3" ht="15.75" customHeight="1">
      <c r="A112" s="13">
        <f t="shared" si="0"/>
        <v>38</v>
      </c>
      <c r="B112" s="14" t="s">
        <v>616</v>
      </c>
      <c r="C112" s="15" t="s">
        <v>619</v>
      </c>
    </row>
    <row r="113" spans="1:3" ht="15.75" customHeight="1">
      <c r="A113" s="13">
        <f t="shared" si="0"/>
        <v>37</v>
      </c>
      <c r="B113" s="14" t="s">
        <v>620</v>
      </c>
      <c r="C113" s="15" t="s">
        <v>623</v>
      </c>
    </row>
    <row r="114" spans="1:3" ht="15.75" customHeight="1">
      <c r="A114" s="13">
        <f t="shared" si="0"/>
        <v>36</v>
      </c>
      <c r="B114" s="14" t="s">
        <v>624</v>
      </c>
      <c r="C114" s="15" t="s">
        <v>626</v>
      </c>
    </row>
    <row r="115" spans="1:3" ht="15.75" customHeight="1">
      <c r="A115" s="13">
        <f t="shared" si="0"/>
        <v>35</v>
      </c>
      <c r="B115" s="14" t="s">
        <v>628</v>
      </c>
      <c r="C115" s="15" t="s">
        <v>632</v>
      </c>
    </row>
    <row r="116" spans="1:3" ht="15.75" customHeight="1">
      <c r="A116" s="13">
        <f t="shared" si="0"/>
        <v>34</v>
      </c>
      <c r="B116" s="14" t="s">
        <v>634</v>
      </c>
      <c r="C116" s="15" t="s">
        <v>635</v>
      </c>
    </row>
    <row r="117" spans="1:3" ht="15.75" customHeight="1">
      <c r="A117" s="13">
        <f t="shared" si="0"/>
        <v>33</v>
      </c>
      <c r="B117" s="24" t="s">
        <v>637</v>
      </c>
      <c r="C117" s="15" t="s">
        <v>640</v>
      </c>
    </row>
    <row r="118" spans="1:3" ht="15.75" customHeight="1">
      <c r="A118" s="13">
        <f t="shared" si="0"/>
        <v>32</v>
      </c>
      <c r="B118" s="24" t="s">
        <v>642</v>
      </c>
      <c r="C118" s="15" t="s">
        <v>645</v>
      </c>
    </row>
    <row r="119" spans="1:3" ht="15.75" customHeight="1">
      <c r="A119" s="13">
        <f t="shared" si="0"/>
        <v>31</v>
      </c>
      <c r="B119" s="14" t="s">
        <v>646</v>
      </c>
      <c r="C119" s="15" t="s">
        <v>648</v>
      </c>
    </row>
    <row r="120" spans="1:3" ht="15.75" customHeight="1">
      <c r="A120" s="13">
        <f t="shared" si="0"/>
        <v>30</v>
      </c>
      <c r="B120" s="14" t="s">
        <v>651</v>
      </c>
      <c r="C120" s="15" t="s">
        <v>653</v>
      </c>
    </row>
    <row r="121" spans="1:3" ht="15.75" customHeight="1">
      <c r="A121" s="13">
        <f t="shared" si="0"/>
        <v>29</v>
      </c>
      <c r="B121" s="14" t="s">
        <v>655</v>
      </c>
      <c r="C121" s="15" t="s">
        <v>656</v>
      </c>
    </row>
    <row r="122" spans="1:3" ht="15.75" customHeight="1">
      <c r="A122" s="13">
        <f t="shared" si="0"/>
        <v>28</v>
      </c>
      <c r="B122" s="14" t="s">
        <v>658</v>
      </c>
      <c r="C122" s="15" t="s">
        <v>660</v>
      </c>
    </row>
    <row r="123" spans="1:3" ht="15.75" customHeight="1">
      <c r="A123" s="13">
        <f t="shared" si="0"/>
        <v>27</v>
      </c>
      <c r="B123" s="14" t="s">
        <v>661</v>
      </c>
      <c r="C123" s="15" t="s">
        <v>664</v>
      </c>
    </row>
    <row r="124" spans="1:3" ht="15.75" customHeight="1">
      <c r="A124" s="13">
        <f t="shared" si="0"/>
        <v>26</v>
      </c>
      <c r="B124" s="14" t="s">
        <v>666</v>
      </c>
      <c r="C124" s="15" t="s">
        <v>670</v>
      </c>
    </row>
    <row r="125" spans="1:3" ht="15.75" customHeight="1">
      <c r="A125" s="13">
        <f t="shared" si="0"/>
        <v>25</v>
      </c>
      <c r="B125" s="14" t="s">
        <v>671</v>
      </c>
      <c r="C125" s="15" t="s">
        <v>673</v>
      </c>
    </row>
    <row r="126" spans="1:3" ht="15.75" customHeight="1">
      <c r="A126" s="13">
        <f t="shared" si="0"/>
        <v>24</v>
      </c>
      <c r="B126" s="24" t="s">
        <v>674</v>
      </c>
      <c r="C126" s="15" t="s">
        <v>677</v>
      </c>
    </row>
    <row r="127" spans="1:3" ht="15.75" customHeight="1">
      <c r="A127" s="13">
        <f t="shared" si="0"/>
        <v>23</v>
      </c>
      <c r="B127" s="14" t="s">
        <v>678</v>
      </c>
      <c r="C127" s="15" t="s">
        <v>680</v>
      </c>
    </row>
    <row r="128" spans="1:3" ht="15.75" customHeight="1">
      <c r="A128" s="13">
        <f t="shared" si="0"/>
        <v>22</v>
      </c>
      <c r="B128" s="14" t="s">
        <v>682</v>
      </c>
      <c r="C128" s="15" t="s">
        <v>684</v>
      </c>
    </row>
    <row r="129" spans="1:3" ht="15.75" customHeight="1">
      <c r="A129" s="13">
        <f t="shared" si="0"/>
        <v>21</v>
      </c>
      <c r="B129" s="14" t="s">
        <v>686</v>
      </c>
      <c r="C129" s="18" t="s">
        <v>688</v>
      </c>
    </row>
    <row r="130" spans="1:3" ht="15.75" customHeight="1">
      <c r="A130" s="13">
        <f t="shared" si="0"/>
        <v>20</v>
      </c>
      <c r="B130" s="14" t="s">
        <v>690</v>
      </c>
      <c r="C130" s="15" t="s">
        <v>694</v>
      </c>
    </row>
    <row r="131" spans="1:3" ht="15.75" customHeight="1">
      <c r="A131" s="13">
        <f t="shared" si="0"/>
        <v>19</v>
      </c>
      <c r="B131" s="14" t="s">
        <v>695</v>
      </c>
      <c r="C131" s="15" t="s">
        <v>698</v>
      </c>
    </row>
    <row r="132" spans="1:3" ht="15.75" customHeight="1">
      <c r="A132" s="13">
        <f t="shared" si="0"/>
        <v>18</v>
      </c>
      <c r="B132" s="14" t="s">
        <v>700</v>
      </c>
      <c r="C132" s="15" t="s">
        <v>703</v>
      </c>
    </row>
    <row r="133" spans="1:3" ht="15.75" customHeight="1">
      <c r="A133" s="13">
        <f t="shared" si="0"/>
        <v>17</v>
      </c>
      <c r="B133" s="14" t="s">
        <v>704</v>
      </c>
      <c r="C133" s="15" t="s">
        <v>708</v>
      </c>
    </row>
    <row r="134" spans="1:3" ht="15.75" customHeight="1">
      <c r="A134" s="13">
        <f t="shared" si="0"/>
        <v>16</v>
      </c>
      <c r="B134" s="14" t="s">
        <v>709</v>
      </c>
      <c r="C134" s="15" t="s">
        <v>712</v>
      </c>
    </row>
    <row r="135" spans="1:3" ht="15.75" customHeight="1">
      <c r="A135" s="13">
        <f t="shared" si="0"/>
        <v>15</v>
      </c>
      <c r="B135" s="14" t="s">
        <v>714</v>
      </c>
      <c r="C135" s="15" t="s">
        <v>716</v>
      </c>
    </row>
    <row r="136" spans="1:3" ht="15.75" customHeight="1">
      <c r="A136" s="13">
        <f t="shared" si="0"/>
        <v>14</v>
      </c>
      <c r="B136" s="24" t="s">
        <v>719</v>
      </c>
      <c r="C136" s="15" t="s">
        <v>722</v>
      </c>
    </row>
    <row r="137" spans="1:3" ht="15.75" customHeight="1">
      <c r="A137" s="13">
        <f t="shared" si="0"/>
        <v>13</v>
      </c>
      <c r="B137" s="14" t="s">
        <v>723</v>
      </c>
      <c r="C137" s="15" t="s">
        <v>726</v>
      </c>
    </row>
    <row r="138" spans="1:3" ht="15.75" customHeight="1">
      <c r="A138" s="13">
        <f t="shared" si="0"/>
        <v>12</v>
      </c>
      <c r="B138" s="24" t="s">
        <v>728</v>
      </c>
      <c r="C138" s="15" t="s">
        <v>731</v>
      </c>
    </row>
    <row r="139" spans="1:3" ht="15.75" customHeight="1">
      <c r="A139" s="13">
        <f t="shared" si="0"/>
        <v>11</v>
      </c>
      <c r="B139" s="14" t="s">
        <v>732</v>
      </c>
      <c r="C139" s="15" t="s">
        <v>736</v>
      </c>
    </row>
    <row r="140" spans="1:3" ht="15.75" customHeight="1">
      <c r="A140" s="13">
        <f t="shared" si="0"/>
        <v>10</v>
      </c>
      <c r="B140" s="24" t="s">
        <v>738</v>
      </c>
      <c r="C140" s="15" t="s">
        <v>739</v>
      </c>
    </row>
    <row r="141" spans="1:3" ht="15.75" customHeight="1">
      <c r="A141" s="13">
        <f t="shared" si="0"/>
        <v>9</v>
      </c>
      <c r="B141" s="14" t="s">
        <v>741</v>
      </c>
      <c r="C141" s="18" t="s">
        <v>744</v>
      </c>
    </row>
    <row r="142" spans="1:3">
      <c r="A142" s="13">
        <f t="shared" si="0"/>
        <v>8</v>
      </c>
      <c r="B142" s="25" t="s">
        <v>745</v>
      </c>
      <c r="C142" s="11" t="s">
        <v>746</v>
      </c>
    </row>
    <row r="143" spans="1:3" ht="15.75" customHeight="1">
      <c r="A143" s="13">
        <f t="shared" si="0"/>
        <v>7</v>
      </c>
      <c r="B143" s="14" t="s">
        <v>748</v>
      </c>
      <c r="C143" s="15" t="s">
        <v>751</v>
      </c>
    </row>
    <row r="144" spans="1:3" ht="15.75" customHeight="1">
      <c r="A144" s="13">
        <f t="shared" si="0"/>
        <v>6</v>
      </c>
      <c r="B144" s="14" t="s">
        <v>753</v>
      </c>
      <c r="C144" s="15" t="s">
        <v>755</v>
      </c>
    </row>
    <row r="145" spans="1:3" ht="15.75" customHeight="1">
      <c r="A145" s="13">
        <f t="shared" si="0"/>
        <v>5</v>
      </c>
      <c r="B145" s="14" t="s">
        <v>757</v>
      </c>
      <c r="C145" s="15" t="s">
        <v>761</v>
      </c>
    </row>
    <row r="146" spans="1:3" ht="15.75" customHeight="1">
      <c r="A146" s="13">
        <f t="shared" si="0"/>
        <v>4</v>
      </c>
      <c r="B146" s="14" t="s">
        <v>762</v>
      </c>
      <c r="C146" s="15" t="s">
        <v>765</v>
      </c>
    </row>
    <row r="147" spans="1:3" ht="15.75" customHeight="1">
      <c r="A147" s="13">
        <f t="shared" si="0"/>
        <v>3</v>
      </c>
      <c r="B147" s="24" t="s">
        <v>766</v>
      </c>
      <c r="C147" s="15" t="s">
        <v>769</v>
      </c>
    </row>
    <row r="148" spans="1:3" ht="15.75" customHeight="1">
      <c r="A148" s="13">
        <f t="shared" si="0"/>
        <v>2</v>
      </c>
      <c r="B148" s="14" t="s">
        <v>771</v>
      </c>
      <c r="C148" s="15" t="s">
        <v>774</v>
      </c>
    </row>
    <row r="149" spans="1:3" ht="15.75" customHeight="1">
      <c r="A149" s="13">
        <v>1</v>
      </c>
      <c r="B149" s="24" t="s">
        <v>776</v>
      </c>
      <c r="C149" s="15" t="s">
        <v>778</v>
      </c>
    </row>
    <row r="150" spans="1:3" ht="15.75" customHeight="1"/>
    <row r="151" spans="1:3" ht="15.75" customHeight="1">
      <c r="A151" s="26"/>
      <c r="B151" s="27" t="s">
        <v>202</v>
      </c>
      <c r="C151" s="15"/>
    </row>
    <row r="152" spans="1:3" ht="15.75" customHeight="1">
      <c r="B152" s="25"/>
      <c r="C152" s="18"/>
    </row>
    <row r="153" spans="1:3" ht="15.75" customHeight="1">
      <c r="B153" s="25"/>
      <c r="C153" s="15"/>
    </row>
    <row r="154" spans="1:3" ht="15.75" customHeight="1">
      <c r="B154" s="25"/>
      <c r="C154" s="18"/>
    </row>
    <row r="155" spans="1:3" ht="15.75" customHeight="1">
      <c r="B155" s="25"/>
      <c r="C155" s="15"/>
    </row>
    <row r="156" spans="1:3" ht="15.75" customHeight="1">
      <c r="B156" s="25"/>
      <c r="C156" s="15"/>
    </row>
    <row r="164" ht="15.75" customHeight="1"/>
    <row r="166"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sheetData>
  <hyperlinks>
    <hyperlink ref="B8" r:id="rId1" xr:uid="{00000000-0004-0000-0000-000000000000}"/>
    <hyperlink ref="B9" r:id="rId2" xr:uid="{00000000-0004-0000-0000-000001000000}"/>
    <hyperlink ref="B10" r:id="rId3" xr:uid="{00000000-0004-0000-0000-000002000000}"/>
    <hyperlink ref="B11" r:id="rId4" xr:uid="{00000000-0004-0000-0000-000003000000}"/>
    <hyperlink ref="B12" r:id="rId5" xr:uid="{00000000-0004-0000-0000-000004000000}"/>
    <hyperlink ref="B13" r:id="rId6" xr:uid="{00000000-0004-0000-0000-000005000000}"/>
    <hyperlink ref="B14" r:id="rId7" xr:uid="{00000000-0004-0000-0000-000006000000}"/>
    <hyperlink ref="B15" r:id="rId8" xr:uid="{00000000-0004-0000-0000-000007000000}"/>
    <hyperlink ref="B16" r:id="rId9" xr:uid="{00000000-0004-0000-0000-000008000000}"/>
    <hyperlink ref="B17" r:id="rId10" xr:uid="{00000000-0004-0000-0000-000009000000}"/>
    <hyperlink ref="B18" r:id="rId11" xr:uid="{00000000-0004-0000-0000-00000A000000}"/>
    <hyperlink ref="B19" r:id="rId12" xr:uid="{00000000-0004-0000-0000-00000B000000}"/>
    <hyperlink ref="B20" r:id="rId13" xr:uid="{00000000-0004-0000-0000-00000C000000}"/>
    <hyperlink ref="B21" r:id="rId14" xr:uid="{00000000-0004-0000-0000-00000D000000}"/>
    <hyperlink ref="B22" r:id="rId15" xr:uid="{00000000-0004-0000-0000-00000E000000}"/>
    <hyperlink ref="B23" r:id="rId16" xr:uid="{00000000-0004-0000-0000-00000F000000}"/>
    <hyperlink ref="B24" r:id="rId17" xr:uid="{00000000-0004-0000-0000-000010000000}"/>
    <hyperlink ref="B25" r:id="rId18" xr:uid="{00000000-0004-0000-0000-000011000000}"/>
    <hyperlink ref="B26" r:id="rId19" xr:uid="{00000000-0004-0000-0000-000012000000}"/>
    <hyperlink ref="B27" r:id="rId20" xr:uid="{00000000-0004-0000-0000-000013000000}"/>
    <hyperlink ref="B28" r:id="rId21" xr:uid="{00000000-0004-0000-0000-000014000000}"/>
    <hyperlink ref="B29" r:id="rId22" xr:uid="{00000000-0004-0000-0000-000015000000}"/>
    <hyperlink ref="B30" r:id="rId23" xr:uid="{00000000-0004-0000-0000-000016000000}"/>
    <hyperlink ref="B31" r:id="rId24" xr:uid="{00000000-0004-0000-0000-000017000000}"/>
    <hyperlink ref="B32" r:id="rId25" xr:uid="{00000000-0004-0000-0000-000018000000}"/>
    <hyperlink ref="B33" r:id="rId26" xr:uid="{00000000-0004-0000-0000-000019000000}"/>
    <hyperlink ref="B34" r:id="rId27" xr:uid="{00000000-0004-0000-0000-00001A000000}"/>
    <hyperlink ref="B35" r:id="rId28" xr:uid="{00000000-0004-0000-0000-00001B000000}"/>
    <hyperlink ref="B36" r:id="rId29" xr:uid="{00000000-0004-0000-0000-00001C000000}"/>
    <hyperlink ref="B37" r:id="rId30" xr:uid="{00000000-0004-0000-0000-00001D000000}"/>
    <hyperlink ref="B38" r:id="rId31" xr:uid="{00000000-0004-0000-0000-00001E000000}"/>
    <hyperlink ref="B39" r:id="rId32" xr:uid="{00000000-0004-0000-0000-00001F000000}"/>
    <hyperlink ref="B40" r:id="rId33" xr:uid="{00000000-0004-0000-0000-000020000000}"/>
    <hyperlink ref="B41" r:id="rId34" xr:uid="{00000000-0004-0000-0000-000021000000}"/>
    <hyperlink ref="B42" r:id="rId35" xr:uid="{00000000-0004-0000-0000-000022000000}"/>
    <hyperlink ref="B43" r:id="rId36" xr:uid="{00000000-0004-0000-0000-000023000000}"/>
    <hyperlink ref="B44" r:id="rId37" xr:uid="{00000000-0004-0000-0000-000024000000}"/>
    <hyperlink ref="B45" r:id="rId38" xr:uid="{00000000-0004-0000-0000-000025000000}"/>
    <hyperlink ref="B46" r:id="rId39" xr:uid="{00000000-0004-0000-0000-000026000000}"/>
    <hyperlink ref="B47" r:id="rId40" xr:uid="{00000000-0004-0000-0000-000027000000}"/>
    <hyperlink ref="B48" r:id="rId41" xr:uid="{00000000-0004-0000-0000-000028000000}"/>
    <hyperlink ref="B49" r:id="rId42" xr:uid="{00000000-0004-0000-0000-000029000000}"/>
    <hyperlink ref="B50" r:id="rId43" xr:uid="{00000000-0004-0000-0000-00002A000000}"/>
    <hyperlink ref="B51" r:id="rId44" xr:uid="{00000000-0004-0000-0000-00002B000000}"/>
    <hyperlink ref="B52" r:id="rId45" xr:uid="{00000000-0004-0000-0000-00002C000000}"/>
    <hyperlink ref="B53" r:id="rId46" xr:uid="{00000000-0004-0000-0000-00002D000000}"/>
    <hyperlink ref="B54" r:id="rId47" xr:uid="{00000000-0004-0000-0000-00002E000000}"/>
    <hyperlink ref="B55" r:id="rId48" xr:uid="{00000000-0004-0000-0000-00002F000000}"/>
    <hyperlink ref="B56" r:id="rId49" xr:uid="{00000000-0004-0000-0000-000030000000}"/>
    <hyperlink ref="B57" r:id="rId50" xr:uid="{00000000-0004-0000-0000-000031000000}"/>
    <hyperlink ref="B58" r:id="rId51" xr:uid="{00000000-0004-0000-0000-000032000000}"/>
    <hyperlink ref="B59" r:id="rId52" xr:uid="{00000000-0004-0000-0000-000033000000}"/>
    <hyperlink ref="B60" r:id="rId53" xr:uid="{00000000-0004-0000-0000-000034000000}"/>
    <hyperlink ref="B61" r:id="rId54" xr:uid="{00000000-0004-0000-0000-000035000000}"/>
    <hyperlink ref="B62" r:id="rId55" xr:uid="{00000000-0004-0000-0000-000036000000}"/>
    <hyperlink ref="B63" r:id="rId56" xr:uid="{00000000-0004-0000-0000-000037000000}"/>
    <hyperlink ref="B64" r:id="rId57" xr:uid="{00000000-0004-0000-0000-000038000000}"/>
    <hyperlink ref="B65" r:id="rId58" xr:uid="{00000000-0004-0000-0000-000039000000}"/>
    <hyperlink ref="B66" r:id="rId59" xr:uid="{00000000-0004-0000-0000-00003A000000}"/>
    <hyperlink ref="B67" r:id="rId60" xr:uid="{00000000-0004-0000-0000-00003B000000}"/>
    <hyperlink ref="B68" r:id="rId61" xr:uid="{00000000-0004-0000-0000-00003C000000}"/>
    <hyperlink ref="B69" r:id="rId62" xr:uid="{00000000-0004-0000-0000-00003D000000}"/>
    <hyperlink ref="B70" r:id="rId63" xr:uid="{00000000-0004-0000-0000-00003E000000}"/>
    <hyperlink ref="B71" r:id="rId64" xr:uid="{00000000-0004-0000-0000-00003F000000}"/>
    <hyperlink ref="B72" r:id="rId65" xr:uid="{00000000-0004-0000-0000-000040000000}"/>
    <hyperlink ref="B73" r:id="rId66" xr:uid="{00000000-0004-0000-0000-000041000000}"/>
    <hyperlink ref="B74" r:id="rId67" xr:uid="{00000000-0004-0000-0000-000042000000}"/>
    <hyperlink ref="B75" r:id="rId68" xr:uid="{00000000-0004-0000-0000-000043000000}"/>
    <hyperlink ref="B76" r:id="rId69" xr:uid="{00000000-0004-0000-0000-000044000000}"/>
    <hyperlink ref="B77" r:id="rId70" xr:uid="{00000000-0004-0000-0000-000045000000}"/>
    <hyperlink ref="B78" r:id="rId71" xr:uid="{00000000-0004-0000-0000-000046000000}"/>
    <hyperlink ref="B79" r:id="rId72" xr:uid="{00000000-0004-0000-0000-000047000000}"/>
    <hyperlink ref="B80" r:id="rId73" xr:uid="{00000000-0004-0000-0000-000048000000}"/>
    <hyperlink ref="B81" r:id="rId74" xr:uid="{00000000-0004-0000-0000-000049000000}"/>
    <hyperlink ref="B82" r:id="rId75" xr:uid="{00000000-0004-0000-0000-00004A000000}"/>
    <hyperlink ref="B83" r:id="rId76" xr:uid="{00000000-0004-0000-0000-00004B000000}"/>
    <hyperlink ref="B84" r:id="rId77" xr:uid="{00000000-0004-0000-0000-00004C000000}"/>
    <hyperlink ref="B85" r:id="rId78" xr:uid="{00000000-0004-0000-0000-00004D000000}"/>
    <hyperlink ref="B86" r:id="rId79" xr:uid="{00000000-0004-0000-0000-00004E000000}"/>
    <hyperlink ref="B87" r:id="rId80" xr:uid="{00000000-0004-0000-0000-00004F000000}"/>
    <hyperlink ref="B88" r:id="rId81" xr:uid="{00000000-0004-0000-0000-000050000000}"/>
    <hyperlink ref="B89" r:id="rId82" xr:uid="{00000000-0004-0000-0000-000051000000}"/>
    <hyperlink ref="B90" r:id="rId83" xr:uid="{00000000-0004-0000-0000-000052000000}"/>
    <hyperlink ref="B91" r:id="rId84" xr:uid="{00000000-0004-0000-0000-000053000000}"/>
    <hyperlink ref="B92" r:id="rId85" xr:uid="{00000000-0004-0000-0000-000054000000}"/>
    <hyperlink ref="B93" r:id="rId86" xr:uid="{00000000-0004-0000-0000-000055000000}"/>
    <hyperlink ref="B94" r:id="rId87" xr:uid="{00000000-0004-0000-0000-000056000000}"/>
    <hyperlink ref="B95" r:id="rId88" xr:uid="{00000000-0004-0000-0000-000057000000}"/>
    <hyperlink ref="B96" r:id="rId89" xr:uid="{00000000-0004-0000-0000-000058000000}"/>
    <hyperlink ref="B97" r:id="rId90" xr:uid="{00000000-0004-0000-0000-000059000000}"/>
    <hyperlink ref="B98" r:id="rId91" xr:uid="{00000000-0004-0000-0000-00005A000000}"/>
    <hyperlink ref="B99" r:id="rId92" xr:uid="{00000000-0004-0000-0000-00005B000000}"/>
    <hyperlink ref="B100" r:id="rId93" xr:uid="{00000000-0004-0000-0000-00005C000000}"/>
    <hyperlink ref="B101" r:id="rId94" xr:uid="{00000000-0004-0000-0000-00005D000000}"/>
    <hyperlink ref="B102" r:id="rId95" xr:uid="{00000000-0004-0000-0000-00005E000000}"/>
    <hyperlink ref="B103" r:id="rId96" xr:uid="{00000000-0004-0000-0000-00005F000000}"/>
    <hyperlink ref="B104" r:id="rId97" xr:uid="{00000000-0004-0000-0000-000060000000}"/>
    <hyperlink ref="B105" r:id="rId98" xr:uid="{00000000-0004-0000-0000-000061000000}"/>
    <hyperlink ref="B106" r:id="rId99" xr:uid="{00000000-0004-0000-0000-000062000000}"/>
    <hyperlink ref="B107" r:id="rId100" xr:uid="{00000000-0004-0000-0000-000063000000}"/>
    <hyperlink ref="B108" r:id="rId101" xr:uid="{00000000-0004-0000-0000-000064000000}"/>
    <hyperlink ref="B109" r:id="rId102" xr:uid="{00000000-0004-0000-0000-000065000000}"/>
    <hyperlink ref="B110" r:id="rId103" xr:uid="{00000000-0004-0000-0000-000066000000}"/>
    <hyperlink ref="B111" r:id="rId104" xr:uid="{00000000-0004-0000-0000-000067000000}"/>
    <hyperlink ref="B112" r:id="rId105" xr:uid="{00000000-0004-0000-0000-000068000000}"/>
    <hyperlink ref="B113" r:id="rId106" xr:uid="{00000000-0004-0000-0000-000069000000}"/>
    <hyperlink ref="B114" r:id="rId107" xr:uid="{00000000-0004-0000-0000-00006A000000}"/>
    <hyperlink ref="B115" r:id="rId108" xr:uid="{00000000-0004-0000-0000-00006B000000}"/>
    <hyperlink ref="B116" r:id="rId109" xr:uid="{00000000-0004-0000-0000-00006C000000}"/>
    <hyperlink ref="B117" r:id="rId110" xr:uid="{00000000-0004-0000-0000-00006D000000}"/>
    <hyperlink ref="B118" r:id="rId111" xr:uid="{00000000-0004-0000-0000-00006E000000}"/>
    <hyperlink ref="B119" r:id="rId112" xr:uid="{00000000-0004-0000-0000-00006F000000}"/>
    <hyperlink ref="B120" r:id="rId113" xr:uid="{00000000-0004-0000-0000-000070000000}"/>
    <hyperlink ref="B121" r:id="rId114" xr:uid="{00000000-0004-0000-0000-000071000000}"/>
    <hyperlink ref="B122" r:id="rId115" xr:uid="{00000000-0004-0000-0000-000072000000}"/>
    <hyperlink ref="B123" r:id="rId116" xr:uid="{00000000-0004-0000-0000-000073000000}"/>
    <hyperlink ref="B124" r:id="rId117" xr:uid="{00000000-0004-0000-0000-000074000000}"/>
    <hyperlink ref="B125" r:id="rId118" xr:uid="{00000000-0004-0000-0000-000075000000}"/>
    <hyperlink ref="B126" r:id="rId119" xr:uid="{00000000-0004-0000-0000-000076000000}"/>
    <hyperlink ref="B127" r:id="rId120" xr:uid="{00000000-0004-0000-0000-000077000000}"/>
    <hyperlink ref="B128" r:id="rId121" xr:uid="{00000000-0004-0000-0000-000078000000}"/>
    <hyperlink ref="B129" r:id="rId122" xr:uid="{00000000-0004-0000-0000-000079000000}"/>
    <hyperlink ref="B130" r:id="rId123" xr:uid="{00000000-0004-0000-0000-00007A000000}"/>
    <hyperlink ref="B131" r:id="rId124" xr:uid="{00000000-0004-0000-0000-00007B000000}"/>
    <hyperlink ref="B132" r:id="rId125" xr:uid="{00000000-0004-0000-0000-00007C000000}"/>
    <hyperlink ref="B133" r:id="rId126" xr:uid="{00000000-0004-0000-0000-00007D000000}"/>
    <hyperlink ref="B134" r:id="rId127" xr:uid="{00000000-0004-0000-0000-00007E000000}"/>
    <hyperlink ref="B135" r:id="rId128" xr:uid="{00000000-0004-0000-0000-00007F000000}"/>
    <hyperlink ref="B136" r:id="rId129" xr:uid="{00000000-0004-0000-0000-000080000000}"/>
    <hyperlink ref="B137" r:id="rId130" xr:uid="{00000000-0004-0000-0000-000081000000}"/>
    <hyperlink ref="B138" r:id="rId131" xr:uid="{00000000-0004-0000-0000-000082000000}"/>
    <hyperlink ref="B139" r:id="rId132" xr:uid="{00000000-0004-0000-0000-000083000000}"/>
    <hyperlink ref="B140" r:id="rId133" xr:uid="{00000000-0004-0000-0000-000084000000}"/>
    <hyperlink ref="B141" r:id="rId134" xr:uid="{00000000-0004-0000-0000-000085000000}"/>
    <hyperlink ref="B143" r:id="rId135" xr:uid="{00000000-0004-0000-0000-000086000000}"/>
    <hyperlink ref="B144" r:id="rId136" xr:uid="{00000000-0004-0000-0000-000087000000}"/>
    <hyperlink ref="B145" r:id="rId137" xr:uid="{00000000-0004-0000-0000-000088000000}"/>
    <hyperlink ref="B146" r:id="rId138" xr:uid="{00000000-0004-0000-0000-000089000000}"/>
    <hyperlink ref="B147" r:id="rId139" xr:uid="{00000000-0004-0000-0000-00008A000000}"/>
    <hyperlink ref="B148" r:id="rId140" xr:uid="{00000000-0004-0000-0000-00008B000000}"/>
    <hyperlink ref="B149" r:id="rId141" xr:uid="{00000000-0004-0000-0000-00008C000000}"/>
  </hyperlinks>
  <pageMargins left="0.511811024" right="0.511811024" top="0.78740157499999996" bottom="0.78740157499999996"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Z924"/>
  <sheetViews>
    <sheetView topLeftCell="A85" workbookViewId="0"/>
  </sheetViews>
  <sheetFormatPr defaultColWidth="14.42578125" defaultRowHeight="15" customHeight="1"/>
  <cols>
    <col min="1" max="1" width="14.42578125" customWidth="1"/>
    <col min="2" max="2" width="54.28515625" customWidth="1"/>
    <col min="3" max="3" width="173" customWidth="1"/>
    <col min="4" max="26" width="8.7109375" customWidth="1"/>
  </cols>
  <sheetData>
    <row r="2" spans="1:26">
      <c r="B2" s="2" t="s">
        <v>0</v>
      </c>
      <c r="C2" s="2" t="s">
        <v>1</v>
      </c>
    </row>
    <row r="3" spans="1:26">
      <c r="A3" s="1"/>
      <c r="B3" s="3"/>
      <c r="C3" s="2" t="s">
        <v>4</v>
      </c>
    </row>
    <row r="4" spans="1:26">
      <c r="A4" s="1" t="s">
        <v>2</v>
      </c>
      <c r="B4" s="4">
        <v>46239</v>
      </c>
    </row>
    <row r="5" spans="1:26">
      <c r="A5" s="2" t="s">
        <v>3</v>
      </c>
      <c r="B5" s="4"/>
    </row>
    <row r="6" spans="1:26">
      <c r="B6" s="10" t="s">
        <v>12</v>
      </c>
      <c r="C6" s="10" t="s">
        <v>6</v>
      </c>
    </row>
    <row r="7" spans="1:26">
      <c r="B7" s="12"/>
      <c r="C7" s="12"/>
    </row>
    <row r="8" spans="1:26" ht="15.75" customHeight="1"/>
    <row r="9" spans="1:26" ht="15.75" customHeight="1">
      <c r="A9" s="11">
        <f t="shared" ref="A9:A113" si="0">1+A10</f>
        <v>106</v>
      </c>
      <c r="B9" s="19" t="s">
        <v>35</v>
      </c>
      <c r="C9" s="20" t="s">
        <v>46</v>
      </c>
      <c r="D9" s="21"/>
      <c r="E9" s="21"/>
      <c r="F9" s="21"/>
      <c r="G9" s="21"/>
      <c r="H9" s="21"/>
      <c r="I9" s="21"/>
      <c r="J9" s="21"/>
      <c r="K9" s="21"/>
      <c r="L9" s="21"/>
      <c r="M9" s="21"/>
      <c r="N9" s="21"/>
      <c r="O9" s="21"/>
      <c r="P9" s="21"/>
      <c r="Q9" s="21"/>
      <c r="R9" s="21"/>
      <c r="S9" s="21"/>
      <c r="T9" s="21"/>
      <c r="U9" s="21"/>
      <c r="V9" s="21"/>
      <c r="W9" s="21"/>
      <c r="X9" s="21"/>
      <c r="Y9" s="21"/>
      <c r="Z9" s="21"/>
    </row>
    <row r="10" spans="1:26" ht="15.75" customHeight="1">
      <c r="A10" s="11">
        <f t="shared" si="0"/>
        <v>105</v>
      </c>
      <c r="B10" s="14" t="s">
        <v>61</v>
      </c>
      <c r="C10" s="15" t="s">
        <v>66</v>
      </c>
    </row>
    <row r="11" spans="1:26" ht="15.75" customHeight="1">
      <c r="A11" s="11">
        <f t="shared" si="0"/>
        <v>104</v>
      </c>
      <c r="B11" s="14" t="s">
        <v>68</v>
      </c>
      <c r="C11" s="18" t="s">
        <v>72</v>
      </c>
    </row>
    <row r="12" spans="1:26" ht="15.75" customHeight="1">
      <c r="A12" s="11">
        <f t="shared" si="0"/>
        <v>103</v>
      </c>
      <c r="B12" s="19" t="s">
        <v>73</v>
      </c>
      <c r="C12" s="20" t="s">
        <v>78</v>
      </c>
      <c r="D12" s="21"/>
      <c r="E12" s="21"/>
      <c r="F12" s="21"/>
      <c r="G12" s="21"/>
      <c r="H12" s="21"/>
      <c r="I12" s="21"/>
      <c r="J12" s="21"/>
      <c r="K12" s="21"/>
      <c r="L12" s="21"/>
      <c r="M12" s="21"/>
      <c r="N12" s="21"/>
      <c r="O12" s="21"/>
      <c r="P12" s="21"/>
      <c r="Q12" s="21"/>
      <c r="R12" s="21"/>
      <c r="S12" s="21"/>
      <c r="T12" s="21"/>
      <c r="U12" s="21"/>
      <c r="V12" s="21"/>
      <c r="W12" s="21"/>
      <c r="X12" s="21"/>
      <c r="Y12" s="21"/>
      <c r="Z12" s="21"/>
    </row>
    <row r="13" spans="1:26" ht="15.75" customHeight="1">
      <c r="A13" s="11">
        <f t="shared" si="0"/>
        <v>102</v>
      </c>
      <c r="B13" s="14" t="s">
        <v>86</v>
      </c>
      <c r="C13" s="18" t="s">
        <v>88</v>
      </c>
    </row>
    <row r="14" spans="1:26" ht="15.75" customHeight="1">
      <c r="A14" s="11">
        <f t="shared" si="0"/>
        <v>101</v>
      </c>
      <c r="B14" s="14" t="s">
        <v>91</v>
      </c>
      <c r="C14" s="18" t="s">
        <v>94</v>
      </c>
    </row>
    <row r="15" spans="1:26" ht="15.75" customHeight="1">
      <c r="A15" s="11">
        <f t="shared" si="0"/>
        <v>100</v>
      </c>
      <c r="B15" s="14" t="s">
        <v>96</v>
      </c>
      <c r="C15" s="15" t="s">
        <v>102</v>
      </c>
    </row>
    <row r="16" spans="1:26" ht="15.75" customHeight="1">
      <c r="A16" s="11">
        <f t="shared" si="0"/>
        <v>99</v>
      </c>
      <c r="B16" s="14" t="s">
        <v>104</v>
      </c>
      <c r="C16" s="15" t="s">
        <v>109</v>
      </c>
    </row>
    <row r="17" spans="1:3" ht="15.75" customHeight="1">
      <c r="A17" s="11">
        <f t="shared" si="0"/>
        <v>98</v>
      </c>
      <c r="B17" s="14" t="s">
        <v>112</v>
      </c>
      <c r="C17" s="18" t="s">
        <v>116</v>
      </c>
    </row>
    <row r="18" spans="1:3" ht="15.75" customHeight="1">
      <c r="A18" s="11">
        <f t="shared" si="0"/>
        <v>97</v>
      </c>
      <c r="B18" s="14" t="s">
        <v>119</v>
      </c>
      <c r="C18" s="18" t="s">
        <v>124</v>
      </c>
    </row>
    <row r="19" spans="1:3" ht="15.75" customHeight="1">
      <c r="A19" s="11">
        <f t="shared" si="0"/>
        <v>96</v>
      </c>
      <c r="B19" s="14" t="s">
        <v>126</v>
      </c>
      <c r="C19" s="15" t="s">
        <v>130</v>
      </c>
    </row>
    <row r="20" spans="1:3" ht="15.75" customHeight="1">
      <c r="A20" s="11">
        <f t="shared" si="0"/>
        <v>95</v>
      </c>
      <c r="B20" s="14" t="s">
        <v>133</v>
      </c>
      <c r="C20" s="15" t="s">
        <v>138</v>
      </c>
    </row>
    <row r="21" spans="1:3" ht="15.75" customHeight="1">
      <c r="A21" s="11">
        <f t="shared" si="0"/>
        <v>94</v>
      </c>
      <c r="B21" s="14" t="s">
        <v>141</v>
      </c>
      <c r="C21" s="15" t="s">
        <v>145</v>
      </c>
    </row>
    <row r="22" spans="1:3" ht="15.75" customHeight="1">
      <c r="A22" s="11">
        <f t="shared" si="0"/>
        <v>93</v>
      </c>
      <c r="B22" s="14" t="s">
        <v>148</v>
      </c>
      <c r="C22" s="15" t="s">
        <v>153</v>
      </c>
    </row>
    <row r="23" spans="1:3" ht="15.75" customHeight="1">
      <c r="A23" s="11">
        <f t="shared" si="0"/>
        <v>92</v>
      </c>
      <c r="B23" s="14" t="s">
        <v>155</v>
      </c>
      <c r="C23" s="15" t="s">
        <v>159</v>
      </c>
    </row>
    <row r="24" spans="1:3" ht="15.75" customHeight="1">
      <c r="A24" s="11">
        <f t="shared" si="0"/>
        <v>91</v>
      </c>
      <c r="B24" s="14" t="s">
        <v>161</v>
      </c>
      <c r="C24" s="15" t="s">
        <v>165</v>
      </c>
    </row>
    <row r="25" spans="1:3" ht="15.75" customHeight="1">
      <c r="A25" s="11">
        <f t="shared" si="0"/>
        <v>90</v>
      </c>
      <c r="B25" s="14" t="s">
        <v>168</v>
      </c>
      <c r="C25" s="15" t="s">
        <v>173</v>
      </c>
    </row>
    <row r="26" spans="1:3" ht="15.75" customHeight="1">
      <c r="A26" s="11">
        <f t="shared" si="0"/>
        <v>89</v>
      </c>
      <c r="B26" s="14" t="s">
        <v>175</v>
      </c>
      <c r="C26" s="15" t="s">
        <v>181</v>
      </c>
    </row>
    <row r="27" spans="1:3" ht="15.75" customHeight="1">
      <c r="A27" s="11">
        <f t="shared" si="0"/>
        <v>88</v>
      </c>
      <c r="B27" s="14" t="s">
        <v>184</v>
      </c>
      <c r="C27" s="15" t="s">
        <v>189</v>
      </c>
    </row>
    <row r="28" spans="1:3" ht="15.75" customHeight="1">
      <c r="A28" s="11">
        <f t="shared" si="0"/>
        <v>87</v>
      </c>
      <c r="B28" s="14" t="s">
        <v>191</v>
      </c>
      <c r="C28" s="15" t="s">
        <v>193</v>
      </c>
    </row>
    <row r="29" spans="1:3" ht="15.75" customHeight="1">
      <c r="A29" s="11">
        <f t="shared" si="0"/>
        <v>86</v>
      </c>
      <c r="B29" s="14" t="s">
        <v>195</v>
      </c>
      <c r="C29" s="15" t="s">
        <v>197</v>
      </c>
    </row>
    <row r="30" spans="1:3" ht="15.75" customHeight="1">
      <c r="A30" s="11">
        <f t="shared" si="0"/>
        <v>85</v>
      </c>
      <c r="B30" s="14" t="s">
        <v>198</v>
      </c>
      <c r="C30" s="15" t="s">
        <v>201</v>
      </c>
    </row>
    <row r="31" spans="1:3" ht="15.75" customHeight="1">
      <c r="A31" s="11">
        <f t="shared" si="0"/>
        <v>84</v>
      </c>
      <c r="B31" s="14" t="s">
        <v>203</v>
      </c>
      <c r="C31" s="15" t="s">
        <v>206</v>
      </c>
    </row>
    <row r="32" spans="1:3" ht="15.75" customHeight="1">
      <c r="A32" s="11">
        <f t="shared" si="0"/>
        <v>83</v>
      </c>
      <c r="B32" s="14" t="s">
        <v>207</v>
      </c>
      <c r="C32" s="15" t="s">
        <v>210</v>
      </c>
    </row>
    <row r="33" spans="1:3" ht="15.75" customHeight="1">
      <c r="A33" s="11">
        <f t="shared" si="0"/>
        <v>82</v>
      </c>
      <c r="B33" s="14" t="s">
        <v>211</v>
      </c>
      <c r="C33" s="15" t="s">
        <v>214</v>
      </c>
    </row>
    <row r="34" spans="1:3" ht="15.75" customHeight="1">
      <c r="A34" s="11">
        <f t="shared" si="0"/>
        <v>81</v>
      </c>
      <c r="B34" s="14" t="s">
        <v>216</v>
      </c>
      <c r="C34" s="18" t="s">
        <v>218</v>
      </c>
    </row>
    <row r="35" spans="1:3" ht="15.75" customHeight="1">
      <c r="A35" s="11">
        <f t="shared" si="0"/>
        <v>80</v>
      </c>
      <c r="B35" s="14" t="s">
        <v>219</v>
      </c>
      <c r="C35" s="18" t="s">
        <v>222</v>
      </c>
    </row>
    <row r="36" spans="1:3" ht="15.75" customHeight="1">
      <c r="A36" s="11">
        <f t="shared" si="0"/>
        <v>79</v>
      </c>
      <c r="B36" s="14" t="s">
        <v>223</v>
      </c>
      <c r="C36" s="15" t="s">
        <v>225</v>
      </c>
    </row>
    <row r="37" spans="1:3" ht="15.75" customHeight="1">
      <c r="A37" s="11">
        <f t="shared" si="0"/>
        <v>78</v>
      </c>
      <c r="B37" s="14" t="s">
        <v>227</v>
      </c>
      <c r="C37" s="15" t="s">
        <v>229</v>
      </c>
    </row>
    <row r="38" spans="1:3" ht="15.75" customHeight="1">
      <c r="A38" s="11">
        <f t="shared" si="0"/>
        <v>77</v>
      </c>
      <c r="B38" s="14" t="s">
        <v>231</v>
      </c>
      <c r="C38" s="15" t="s">
        <v>234</v>
      </c>
    </row>
    <row r="39" spans="1:3" ht="15.75" customHeight="1">
      <c r="A39" s="11">
        <f t="shared" si="0"/>
        <v>76</v>
      </c>
      <c r="B39" s="14" t="s">
        <v>237</v>
      </c>
      <c r="C39" s="15" t="s">
        <v>240</v>
      </c>
    </row>
    <row r="40" spans="1:3" ht="15.75" customHeight="1">
      <c r="A40" s="11">
        <f t="shared" si="0"/>
        <v>75</v>
      </c>
      <c r="B40" s="14" t="s">
        <v>241</v>
      </c>
      <c r="C40" s="15" t="s">
        <v>246</v>
      </c>
    </row>
    <row r="41" spans="1:3" ht="15.75" customHeight="1">
      <c r="A41" s="11">
        <f t="shared" si="0"/>
        <v>74</v>
      </c>
      <c r="B41" s="14" t="s">
        <v>247</v>
      </c>
      <c r="C41" s="15" t="s">
        <v>251</v>
      </c>
    </row>
    <row r="42" spans="1:3" ht="15.75" customHeight="1">
      <c r="A42" s="11">
        <f t="shared" si="0"/>
        <v>73</v>
      </c>
      <c r="B42" s="14" t="s">
        <v>252</v>
      </c>
      <c r="C42" s="15" t="s">
        <v>257</v>
      </c>
    </row>
    <row r="43" spans="1:3" ht="15.75" customHeight="1">
      <c r="A43" s="11">
        <f t="shared" si="0"/>
        <v>72</v>
      </c>
      <c r="B43" s="14" t="s">
        <v>259</v>
      </c>
      <c r="C43" s="18" t="s">
        <v>262</v>
      </c>
    </row>
    <row r="44" spans="1:3" ht="15.75" customHeight="1">
      <c r="A44" s="11">
        <f t="shared" si="0"/>
        <v>71</v>
      </c>
      <c r="B44" s="14" t="s">
        <v>264</v>
      </c>
      <c r="C44" s="15" t="s">
        <v>269</v>
      </c>
    </row>
    <row r="45" spans="1:3" ht="15.75" customHeight="1">
      <c r="A45" s="11">
        <f t="shared" si="0"/>
        <v>70</v>
      </c>
      <c r="B45" s="14" t="s">
        <v>271</v>
      </c>
      <c r="C45" s="15" t="s">
        <v>275</v>
      </c>
    </row>
    <row r="46" spans="1:3" ht="15.75" customHeight="1">
      <c r="A46" s="11">
        <f t="shared" si="0"/>
        <v>69</v>
      </c>
      <c r="B46" s="14" t="s">
        <v>277</v>
      </c>
      <c r="C46" s="15" t="s">
        <v>285</v>
      </c>
    </row>
    <row r="47" spans="1:3" ht="15.75" customHeight="1">
      <c r="A47" s="11">
        <f t="shared" si="0"/>
        <v>68</v>
      </c>
      <c r="B47" s="14" t="s">
        <v>286</v>
      </c>
      <c r="C47" s="15" t="s">
        <v>291</v>
      </c>
    </row>
    <row r="48" spans="1:3" ht="15.75" customHeight="1">
      <c r="A48" s="11">
        <f t="shared" si="0"/>
        <v>67</v>
      </c>
      <c r="B48" s="14" t="s">
        <v>293</v>
      </c>
      <c r="C48" s="15" t="s">
        <v>299</v>
      </c>
    </row>
    <row r="49" spans="1:3" ht="15.75" customHeight="1">
      <c r="A49" s="11">
        <f t="shared" si="0"/>
        <v>66</v>
      </c>
      <c r="B49" s="14" t="s">
        <v>300</v>
      </c>
      <c r="C49" s="15" t="s">
        <v>304</v>
      </c>
    </row>
    <row r="50" spans="1:3" ht="15.75" customHeight="1">
      <c r="A50" s="11">
        <f t="shared" si="0"/>
        <v>65</v>
      </c>
      <c r="B50" s="14" t="s">
        <v>305</v>
      </c>
      <c r="C50" s="15" t="s">
        <v>311</v>
      </c>
    </row>
    <row r="51" spans="1:3" ht="15.75" customHeight="1">
      <c r="A51" s="11">
        <f t="shared" si="0"/>
        <v>64</v>
      </c>
      <c r="B51" s="14" t="s">
        <v>312</v>
      </c>
      <c r="C51" s="15" t="s">
        <v>317</v>
      </c>
    </row>
    <row r="52" spans="1:3" ht="15.75" customHeight="1">
      <c r="A52" s="11">
        <f t="shared" si="0"/>
        <v>63</v>
      </c>
      <c r="B52" s="14" t="s">
        <v>320</v>
      </c>
      <c r="C52" s="15" t="s">
        <v>326</v>
      </c>
    </row>
    <row r="53" spans="1:3" ht="15.75" customHeight="1">
      <c r="A53" s="11">
        <f t="shared" si="0"/>
        <v>62</v>
      </c>
      <c r="B53" s="14" t="s">
        <v>328</v>
      </c>
      <c r="C53" s="15" t="s">
        <v>332</v>
      </c>
    </row>
    <row r="54" spans="1:3" ht="15.75" customHeight="1">
      <c r="A54" s="11">
        <f t="shared" si="0"/>
        <v>61</v>
      </c>
      <c r="B54" s="14" t="s">
        <v>345</v>
      </c>
      <c r="C54" s="15" t="s">
        <v>350</v>
      </c>
    </row>
    <row r="55" spans="1:3" ht="15.75" customHeight="1">
      <c r="A55" s="11">
        <f t="shared" si="0"/>
        <v>60</v>
      </c>
      <c r="B55" s="14" t="s">
        <v>352</v>
      </c>
      <c r="C55" s="15" t="s">
        <v>358</v>
      </c>
    </row>
    <row r="56" spans="1:3" ht="15.75" customHeight="1">
      <c r="A56" s="11">
        <f t="shared" si="0"/>
        <v>59</v>
      </c>
      <c r="B56" s="14" t="s">
        <v>360</v>
      </c>
      <c r="C56" s="15" t="s">
        <v>372</v>
      </c>
    </row>
    <row r="57" spans="1:3" ht="15.75" customHeight="1">
      <c r="A57" s="11">
        <f t="shared" si="0"/>
        <v>58</v>
      </c>
      <c r="B57" s="14" t="s">
        <v>373</v>
      </c>
      <c r="C57" s="15" t="s">
        <v>380</v>
      </c>
    </row>
    <row r="58" spans="1:3" ht="15.75" customHeight="1">
      <c r="A58" s="11">
        <f t="shared" si="0"/>
        <v>57</v>
      </c>
      <c r="B58" s="14" t="s">
        <v>381</v>
      </c>
      <c r="C58" s="15" t="s">
        <v>390</v>
      </c>
    </row>
    <row r="59" spans="1:3" ht="15.75" customHeight="1">
      <c r="A59" s="11">
        <f t="shared" si="0"/>
        <v>56</v>
      </c>
      <c r="B59" s="14" t="s">
        <v>395</v>
      </c>
      <c r="C59" s="15" t="s">
        <v>404</v>
      </c>
    </row>
    <row r="60" spans="1:3" ht="15.75" customHeight="1">
      <c r="A60" s="11">
        <f t="shared" si="0"/>
        <v>55</v>
      </c>
      <c r="B60" s="14" t="s">
        <v>408</v>
      </c>
      <c r="C60" s="15" t="s">
        <v>413</v>
      </c>
    </row>
    <row r="61" spans="1:3" ht="15.75" customHeight="1">
      <c r="A61" s="11">
        <f t="shared" si="0"/>
        <v>54</v>
      </c>
      <c r="B61" s="14" t="s">
        <v>417</v>
      </c>
      <c r="C61" s="15" t="s">
        <v>424</v>
      </c>
    </row>
    <row r="62" spans="1:3" ht="15.75" customHeight="1">
      <c r="A62" s="11">
        <f t="shared" si="0"/>
        <v>53</v>
      </c>
      <c r="B62" s="14" t="s">
        <v>426</v>
      </c>
      <c r="C62" s="15" t="s">
        <v>433</v>
      </c>
    </row>
    <row r="63" spans="1:3" ht="15.75" customHeight="1">
      <c r="A63" s="11">
        <f t="shared" si="0"/>
        <v>52</v>
      </c>
      <c r="B63" s="14" t="s">
        <v>436</v>
      </c>
      <c r="C63" s="15" t="s">
        <v>444</v>
      </c>
    </row>
    <row r="64" spans="1:3" ht="15.75" customHeight="1">
      <c r="A64" s="11">
        <f t="shared" si="0"/>
        <v>51</v>
      </c>
      <c r="B64" s="14" t="s">
        <v>446</v>
      </c>
      <c r="C64" s="15" t="s">
        <v>455</v>
      </c>
    </row>
    <row r="65" spans="1:3" ht="15.75" customHeight="1">
      <c r="A65" s="11">
        <f t="shared" si="0"/>
        <v>50</v>
      </c>
      <c r="B65" s="14" t="s">
        <v>458</v>
      </c>
      <c r="C65" s="15" t="s">
        <v>463</v>
      </c>
    </row>
    <row r="66" spans="1:3" ht="15.75" customHeight="1">
      <c r="A66" s="11">
        <f t="shared" si="0"/>
        <v>49</v>
      </c>
      <c r="B66" s="14" t="s">
        <v>465</v>
      </c>
      <c r="C66" s="15" t="s">
        <v>471</v>
      </c>
    </row>
    <row r="67" spans="1:3" ht="15.75" customHeight="1">
      <c r="A67" s="11">
        <f t="shared" si="0"/>
        <v>48</v>
      </c>
      <c r="B67" s="14" t="s">
        <v>473</v>
      </c>
      <c r="C67" s="15" t="s">
        <v>478</v>
      </c>
    </row>
    <row r="68" spans="1:3" ht="15.75" customHeight="1">
      <c r="A68" s="11">
        <f t="shared" si="0"/>
        <v>47</v>
      </c>
      <c r="B68" s="14" t="s">
        <v>480</v>
      </c>
      <c r="C68" s="18" t="s">
        <v>486</v>
      </c>
    </row>
    <row r="69" spans="1:3" ht="15.75" customHeight="1">
      <c r="A69" s="11">
        <f t="shared" si="0"/>
        <v>46</v>
      </c>
      <c r="B69" s="14" t="s">
        <v>489</v>
      </c>
      <c r="C69" s="15" t="s">
        <v>494</v>
      </c>
    </row>
    <row r="70" spans="1:3" ht="15.75" customHeight="1">
      <c r="A70" s="11">
        <f t="shared" si="0"/>
        <v>45</v>
      </c>
      <c r="B70" s="38" t="s">
        <v>495</v>
      </c>
      <c r="C70" s="18" t="s">
        <v>504</v>
      </c>
    </row>
    <row r="71" spans="1:3" ht="15.75" customHeight="1">
      <c r="A71" s="11">
        <f t="shared" si="0"/>
        <v>44</v>
      </c>
      <c r="B71" s="14" t="s">
        <v>506</v>
      </c>
      <c r="C71" s="15" t="s">
        <v>511</v>
      </c>
    </row>
    <row r="72" spans="1:3" ht="15.75" customHeight="1">
      <c r="A72" s="11">
        <f t="shared" si="0"/>
        <v>43</v>
      </c>
      <c r="B72" s="14" t="s">
        <v>514</v>
      </c>
      <c r="C72" s="15" t="s">
        <v>519</v>
      </c>
    </row>
    <row r="73" spans="1:3" ht="15.75" customHeight="1">
      <c r="A73" s="11">
        <f t="shared" si="0"/>
        <v>42</v>
      </c>
      <c r="B73" s="14" t="s">
        <v>521</v>
      </c>
      <c r="C73" s="15" t="s">
        <v>527</v>
      </c>
    </row>
    <row r="74" spans="1:3" ht="15.75" customHeight="1">
      <c r="A74" s="11">
        <f t="shared" si="0"/>
        <v>41</v>
      </c>
      <c r="B74" s="14" t="s">
        <v>531</v>
      </c>
      <c r="C74" s="15" t="s">
        <v>535</v>
      </c>
    </row>
    <row r="75" spans="1:3" ht="15.75" customHeight="1">
      <c r="A75" s="11">
        <f t="shared" si="0"/>
        <v>40</v>
      </c>
      <c r="B75" s="14" t="s">
        <v>539</v>
      </c>
      <c r="C75" s="15" t="s">
        <v>544</v>
      </c>
    </row>
    <row r="76" spans="1:3" ht="15.75" customHeight="1">
      <c r="A76" s="11">
        <f t="shared" si="0"/>
        <v>39</v>
      </c>
      <c r="B76" s="14" t="s">
        <v>547</v>
      </c>
      <c r="C76" s="18" t="s">
        <v>553</v>
      </c>
    </row>
    <row r="77" spans="1:3" ht="15.75" customHeight="1">
      <c r="A77" s="11">
        <f t="shared" si="0"/>
        <v>38</v>
      </c>
      <c r="B77" s="38" t="s">
        <v>554</v>
      </c>
      <c r="C77" s="15" t="s">
        <v>559</v>
      </c>
    </row>
    <row r="78" spans="1:3" ht="15.75" customHeight="1">
      <c r="A78" s="11">
        <f t="shared" si="0"/>
        <v>37</v>
      </c>
      <c r="B78" s="14" t="s">
        <v>561</v>
      </c>
      <c r="C78" s="15" t="s">
        <v>567</v>
      </c>
    </row>
    <row r="79" spans="1:3" ht="15.75" customHeight="1">
      <c r="A79" s="11">
        <f t="shared" si="0"/>
        <v>36</v>
      </c>
      <c r="B79" s="14" t="s">
        <v>569</v>
      </c>
      <c r="C79" s="15" t="s">
        <v>575</v>
      </c>
    </row>
    <row r="80" spans="1:3" ht="15.75" customHeight="1">
      <c r="A80" s="11">
        <f t="shared" si="0"/>
        <v>35</v>
      </c>
      <c r="B80" s="14" t="s">
        <v>576</v>
      </c>
      <c r="C80" s="15" t="s">
        <v>580</v>
      </c>
    </row>
    <row r="81" spans="1:3" ht="15.75" customHeight="1">
      <c r="A81" s="11">
        <f t="shared" si="0"/>
        <v>34</v>
      </c>
      <c r="B81" s="14" t="s">
        <v>581</v>
      </c>
      <c r="C81" s="15" t="s">
        <v>587</v>
      </c>
    </row>
    <row r="82" spans="1:3" ht="15.75" customHeight="1">
      <c r="A82" s="11">
        <f t="shared" si="0"/>
        <v>33</v>
      </c>
      <c r="B82" s="14" t="s">
        <v>590</v>
      </c>
      <c r="C82" s="15" t="s">
        <v>527</v>
      </c>
    </row>
    <row r="83" spans="1:3" ht="15.75" customHeight="1">
      <c r="A83" s="11">
        <f t="shared" si="0"/>
        <v>32</v>
      </c>
      <c r="B83" s="38" t="s">
        <v>603</v>
      </c>
      <c r="C83" s="15" t="s">
        <v>607</v>
      </c>
    </row>
    <row r="84" spans="1:3" ht="15.75" customHeight="1">
      <c r="A84" s="11">
        <f t="shared" si="0"/>
        <v>31</v>
      </c>
      <c r="B84" s="14" t="s">
        <v>609</v>
      </c>
      <c r="C84" s="15" t="s">
        <v>612</v>
      </c>
    </row>
    <row r="85" spans="1:3" ht="15.75" customHeight="1">
      <c r="A85" s="11">
        <f t="shared" si="0"/>
        <v>30</v>
      </c>
      <c r="B85" s="14" t="s">
        <v>614</v>
      </c>
      <c r="C85" s="15" t="s">
        <v>617</v>
      </c>
    </row>
    <row r="86" spans="1:3" ht="15.75" customHeight="1">
      <c r="A86" s="11">
        <f t="shared" si="0"/>
        <v>29</v>
      </c>
      <c r="B86" s="14" t="s">
        <v>618</v>
      </c>
      <c r="C86" s="18" t="s">
        <v>621</v>
      </c>
    </row>
    <row r="87" spans="1:3" ht="15.75" customHeight="1">
      <c r="A87" s="11">
        <f t="shared" si="0"/>
        <v>28</v>
      </c>
      <c r="B87" s="14" t="s">
        <v>622</v>
      </c>
      <c r="C87" s="15" t="s">
        <v>625</v>
      </c>
    </row>
    <row r="88" spans="1:3" ht="15.75" customHeight="1">
      <c r="A88" s="11">
        <f t="shared" si="0"/>
        <v>27</v>
      </c>
      <c r="B88" s="14" t="s">
        <v>627</v>
      </c>
      <c r="C88" s="18" t="s">
        <v>629</v>
      </c>
    </row>
    <row r="89" spans="1:3" ht="15.75" customHeight="1">
      <c r="A89" s="11">
        <f t="shared" si="0"/>
        <v>26</v>
      </c>
      <c r="B89" s="14" t="s">
        <v>630</v>
      </c>
      <c r="C89" s="18" t="s">
        <v>631</v>
      </c>
    </row>
    <row r="90" spans="1:3" ht="15.75" customHeight="1">
      <c r="A90" s="11">
        <f t="shared" si="0"/>
        <v>25</v>
      </c>
      <c r="B90" s="14" t="s">
        <v>633</v>
      </c>
      <c r="C90" s="15" t="s">
        <v>638</v>
      </c>
    </row>
    <row r="91" spans="1:3" ht="15.75" customHeight="1">
      <c r="A91" s="11">
        <f t="shared" si="0"/>
        <v>24</v>
      </c>
      <c r="B91" s="14" t="s">
        <v>639</v>
      </c>
      <c r="C91" s="15" t="s">
        <v>612</v>
      </c>
    </row>
    <row r="92" spans="1:3" ht="15.75" customHeight="1">
      <c r="A92" s="11">
        <f t="shared" si="0"/>
        <v>23</v>
      </c>
      <c r="B92" s="14" t="s">
        <v>644</v>
      </c>
      <c r="C92" s="15" t="s">
        <v>647</v>
      </c>
    </row>
    <row r="93" spans="1:3" ht="15.75" customHeight="1">
      <c r="A93" s="11">
        <f t="shared" si="0"/>
        <v>22</v>
      </c>
      <c r="B93" s="14" t="s">
        <v>649</v>
      </c>
      <c r="C93" s="15" t="s">
        <v>652</v>
      </c>
    </row>
    <row r="94" spans="1:3" ht="15.75" customHeight="1">
      <c r="A94" s="11">
        <f t="shared" si="0"/>
        <v>21</v>
      </c>
      <c r="B94" s="38" t="s">
        <v>654</v>
      </c>
      <c r="C94" s="15" t="s">
        <v>535</v>
      </c>
    </row>
    <row r="95" spans="1:3" ht="15.75" customHeight="1">
      <c r="A95" s="11">
        <f t="shared" si="0"/>
        <v>20</v>
      </c>
      <c r="B95" s="14" t="s">
        <v>659</v>
      </c>
      <c r="C95" s="18" t="s">
        <v>662</v>
      </c>
    </row>
    <row r="96" spans="1:3" ht="15.75" customHeight="1">
      <c r="A96" s="11">
        <f t="shared" si="0"/>
        <v>19</v>
      </c>
      <c r="B96" s="38" t="s">
        <v>663</v>
      </c>
      <c r="C96" s="15" t="s">
        <v>667</v>
      </c>
    </row>
    <row r="97" spans="1:3" ht="15.75" customHeight="1">
      <c r="A97" s="11">
        <f t="shared" si="0"/>
        <v>18</v>
      </c>
      <c r="B97" s="14" t="s">
        <v>669</v>
      </c>
      <c r="C97" s="15" t="s">
        <v>621</v>
      </c>
    </row>
    <row r="98" spans="1:3" ht="15.75" customHeight="1">
      <c r="A98" s="11">
        <f t="shared" si="0"/>
        <v>17</v>
      </c>
      <c r="B98" s="14" t="s">
        <v>672</v>
      </c>
      <c r="C98" s="15" t="s">
        <v>675</v>
      </c>
    </row>
    <row r="99" spans="1:3" ht="15.75" customHeight="1">
      <c r="A99" s="11">
        <f t="shared" si="0"/>
        <v>16</v>
      </c>
      <c r="B99" s="14" t="s">
        <v>676</v>
      </c>
      <c r="C99" s="15" t="s">
        <v>679</v>
      </c>
    </row>
    <row r="100" spans="1:3" ht="15.75" customHeight="1">
      <c r="A100" s="11">
        <f t="shared" si="0"/>
        <v>15</v>
      </c>
      <c r="B100" s="14" t="s">
        <v>681</v>
      </c>
      <c r="C100" s="15" t="s">
        <v>683</v>
      </c>
    </row>
    <row r="101" spans="1:3" ht="15.75" customHeight="1">
      <c r="A101" s="11">
        <f t="shared" si="0"/>
        <v>14</v>
      </c>
      <c r="B101" s="14" t="s">
        <v>685</v>
      </c>
      <c r="C101" s="15" t="s">
        <v>652</v>
      </c>
    </row>
    <row r="102" spans="1:3" ht="15.75" customHeight="1">
      <c r="A102" s="11">
        <f t="shared" si="0"/>
        <v>13</v>
      </c>
      <c r="B102" s="14" t="s">
        <v>689</v>
      </c>
      <c r="C102" s="15" t="s">
        <v>652</v>
      </c>
    </row>
    <row r="103" spans="1:3" ht="15.75" customHeight="1">
      <c r="A103" s="11">
        <f t="shared" si="0"/>
        <v>12</v>
      </c>
      <c r="B103" s="14" t="s">
        <v>693</v>
      </c>
      <c r="C103" s="15" t="s">
        <v>696</v>
      </c>
    </row>
    <row r="104" spans="1:3" ht="15.75" customHeight="1">
      <c r="A104" s="11">
        <f t="shared" si="0"/>
        <v>11</v>
      </c>
      <c r="B104" s="14" t="s">
        <v>699</v>
      </c>
      <c r="C104" s="15" t="s">
        <v>702</v>
      </c>
    </row>
    <row r="105" spans="1:3" ht="15.75" customHeight="1">
      <c r="A105" s="11">
        <f t="shared" si="0"/>
        <v>10</v>
      </c>
      <c r="B105" s="14" t="s">
        <v>705</v>
      </c>
      <c r="C105" s="15" t="s">
        <v>711</v>
      </c>
    </row>
    <row r="106" spans="1:3" ht="15.75" customHeight="1">
      <c r="A106" s="11">
        <f t="shared" si="0"/>
        <v>9</v>
      </c>
      <c r="B106" s="14" t="s">
        <v>713</v>
      </c>
      <c r="C106" s="15" t="s">
        <v>718</v>
      </c>
    </row>
    <row r="107" spans="1:3" ht="15.75" customHeight="1">
      <c r="A107" s="11">
        <f t="shared" si="0"/>
        <v>8</v>
      </c>
      <c r="B107" s="14" t="s">
        <v>720</v>
      </c>
      <c r="C107" s="15" t="s">
        <v>662</v>
      </c>
    </row>
    <row r="108" spans="1:3" ht="15.75" customHeight="1">
      <c r="A108" s="11">
        <f t="shared" si="0"/>
        <v>7</v>
      </c>
      <c r="B108" s="14" t="s">
        <v>724</v>
      </c>
      <c r="C108" s="15" t="s">
        <v>679</v>
      </c>
    </row>
    <row r="109" spans="1:3" ht="15.75" customHeight="1">
      <c r="A109" s="11">
        <f t="shared" si="0"/>
        <v>6</v>
      </c>
      <c r="B109" s="14" t="s">
        <v>729</v>
      </c>
      <c r="C109" s="15" t="s">
        <v>734</v>
      </c>
    </row>
    <row r="110" spans="1:3" ht="15.75" customHeight="1">
      <c r="A110" s="11">
        <f t="shared" si="0"/>
        <v>5</v>
      </c>
      <c r="B110" s="14" t="s">
        <v>735</v>
      </c>
      <c r="C110" s="15" t="s">
        <v>740</v>
      </c>
    </row>
    <row r="111" spans="1:3" ht="15.75" customHeight="1">
      <c r="A111" s="11">
        <f t="shared" si="0"/>
        <v>4</v>
      </c>
      <c r="B111" s="14" t="s">
        <v>743</v>
      </c>
      <c r="C111" s="18" t="s">
        <v>747</v>
      </c>
    </row>
    <row r="112" spans="1:3" ht="15.75" customHeight="1">
      <c r="A112" s="11">
        <f t="shared" si="0"/>
        <v>3</v>
      </c>
      <c r="B112" s="14" t="s">
        <v>749</v>
      </c>
      <c r="C112" s="18" t="s">
        <v>752</v>
      </c>
    </row>
    <row r="113" spans="1:3" ht="15.75" customHeight="1">
      <c r="A113" s="11">
        <f t="shared" si="0"/>
        <v>2</v>
      </c>
      <c r="B113" s="14" t="s">
        <v>754</v>
      </c>
      <c r="C113" s="15" t="s">
        <v>759</v>
      </c>
    </row>
    <row r="114" spans="1:3" ht="15.75" customHeight="1">
      <c r="A114" s="11">
        <v>1</v>
      </c>
      <c r="B114" s="14" t="s">
        <v>760</v>
      </c>
      <c r="C114" s="15" t="s">
        <v>763</v>
      </c>
    </row>
    <row r="115" spans="1:3" ht="15.75" customHeight="1"/>
    <row r="116" spans="1:3" ht="15.75" customHeight="1">
      <c r="A116" s="41"/>
      <c r="B116" s="27" t="s">
        <v>767</v>
      </c>
      <c r="C116" s="15"/>
    </row>
    <row r="117" spans="1:3" ht="15.75" customHeight="1">
      <c r="B117" s="25"/>
      <c r="C117" s="15"/>
    </row>
    <row r="118" spans="1:3" ht="15.75" customHeight="1">
      <c r="B118" s="25"/>
      <c r="C118" s="15"/>
    </row>
    <row r="119" spans="1:3" ht="15.75" customHeight="1">
      <c r="B119" s="25"/>
      <c r="C119" s="15"/>
    </row>
    <row r="124" spans="1:3" ht="15.75" customHeight="1"/>
    <row r="125" spans="1:3" ht="15.75" customHeight="1"/>
    <row r="126" spans="1:3" ht="15.75" customHeight="1"/>
    <row r="127" spans="1:3" ht="15.75" customHeight="1"/>
    <row r="128" spans="1:3"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sheetData>
  <hyperlinks>
    <hyperlink ref="B9" r:id="rId1" xr:uid="{00000000-0004-0000-0100-000000000000}"/>
    <hyperlink ref="B10" r:id="rId2" xr:uid="{00000000-0004-0000-0100-000001000000}"/>
    <hyperlink ref="B11" r:id="rId3" xr:uid="{00000000-0004-0000-0100-000002000000}"/>
    <hyperlink ref="B12" r:id="rId4" xr:uid="{00000000-0004-0000-0100-000003000000}"/>
    <hyperlink ref="B13" r:id="rId5" xr:uid="{00000000-0004-0000-0100-000004000000}"/>
    <hyperlink ref="B14" r:id="rId6" xr:uid="{00000000-0004-0000-0100-000005000000}"/>
    <hyperlink ref="B15" r:id="rId7" xr:uid="{00000000-0004-0000-0100-000006000000}"/>
    <hyperlink ref="B16" r:id="rId8" xr:uid="{00000000-0004-0000-0100-000007000000}"/>
    <hyperlink ref="B17" r:id="rId9" xr:uid="{00000000-0004-0000-0100-000008000000}"/>
    <hyperlink ref="B18" r:id="rId10" xr:uid="{00000000-0004-0000-0100-000009000000}"/>
    <hyperlink ref="B19" r:id="rId11" xr:uid="{00000000-0004-0000-0100-00000A000000}"/>
    <hyperlink ref="B20" r:id="rId12" xr:uid="{00000000-0004-0000-0100-00000B000000}"/>
    <hyperlink ref="B21" r:id="rId13" xr:uid="{00000000-0004-0000-0100-00000C000000}"/>
    <hyperlink ref="B22" r:id="rId14" xr:uid="{00000000-0004-0000-0100-00000D000000}"/>
    <hyperlink ref="B23" r:id="rId15" xr:uid="{00000000-0004-0000-0100-00000E000000}"/>
    <hyperlink ref="B24" r:id="rId16" xr:uid="{00000000-0004-0000-0100-00000F000000}"/>
    <hyperlink ref="B25" r:id="rId17" xr:uid="{00000000-0004-0000-0100-000010000000}"/>
    <hyperlink ref="B26" r:id="rId18" xr:uid="{00000000-0004-0000-0100-000011000000}"/>
    <hyperlink ref="B27" r:id="rId19" xr:uid="{00000000-0004-0000-0100-000012000000}"/>
    <hyperlink ref="B28" r:id="rId20" xr:uid="{00000000-0004-0000-0100-000013000000}"/>
    <hyperlink ref="B29" r:id="rId21" xr:uid="{00000000-0004-0000-0100-000014000000}"/>
    <hyperlink ref="B30" r:id="rId22" xr:uid="{00000000-0004-0000-0100-000015000000}"/>
    <hyperlink ref="B31" r:id="rId23" xr:uid="{00000000-0004-0000-0100-000016000000}"/>
    <hyperlink ref="B32" r:id="rId24" xr:uid="{00000000-0004-0000-0100-000017000000}"/>
    <hyperlink ref="B33" r:id="rId25" xr:uid="{00000000-0004-0000-0100-000018000000}"/>
    <hyperlink ref="B34" r:id="rId26" xr:uid="{00000000-0004-0000-0100-000019000000}"/>
    <hyperlink ref="B35" r:id="rId27" xr:uid="{00000000-0004-0000-0100-00001A000000}"/>
    <hyperlink ref="B36" r:id="rId28" xr:uid="{00000000-0004-0000-0100-00001B000000}"/>
    <hyperlink ref="B37" r:id="rId29" xr:uid="{00000000-0004-0000-0100-00001C000000}"/>
    <hyperlink ref="B38" r:id="rId30" xr:uid="{00000000-0004-0000-0100-00001D000000}"/>
    <hyperlink ref="B39" r:id="rId31" xr:uid="{00000000-0004-0000-0100-00001E000000}"/>
    <hyperlink ref="B40" r:id="rId32" xr:uid="{00000000-0004-0000-0100-00001F000000}"/>
    <hyperlink ref="B41" r:id="rId33" xr:uid="{00000000-0004-0000-0100-000020000000}"/>
    <hyperlink ref="B42" r:id="rId34" xr:uid="{00000000-0004-0000-0100-000021000000}"/>
    <hyperlink ref="B43" r:id="rId35" xr:uid="{00000000-0004-0000-0100-000022000000}"/>
    <hyperlink ref="B44" r:id="rId36" xr:uid="{00000000-0004-0000-0100-000023000000}"/>
    <hyperlink ref="B45" r:id="rId37" xr:uid="{00000000-0004-0000-0100-000024000000}"/>
    <hyperlink ref="B46" r:id="rId38" xr:uid="{00000000-0004-0000-0100-000025000000}"/>
    <hyperlink ref="B47" r:id="rId39" xr:uid="{00000000-0004-0000-0100-000026000000}"/>
    <hyperlink ref="B48" r:id="rId40" xr:uid="{00000000-0004-0000-0100-000027000000}"/>
    <hyperlink ref="B49" r:id="rId41" xr:uid="{00000000-0004-0000-0100-000028000000}"/>
    <hyperlink ref="B50" r:id="rId42" xr:uid="{00000000-0004-0000-0100-000029000000}"/>
    <hyperlink ref="B51" r:id="rId43" xr:uid="{00000000-0004-0000-0100-00002A000000}"/>
    <hyperlink ref="B52" r:id="rId44" xr:uid="{00000000-0004-0000-0100-00002B000000}"/>
    <hyperlink ref="B53" r:id="rId45" xr:uid="{00000000-0004-0000-0100-00002C000000}"/>
    <hyperlink ref="B54" r:id="rId46" xr:uid="{00000000-0004-0000-0100-00002D000000}"/>
    <hyperlink ref="B55" r:id="rId47" xr:uid="{00000000-0004-0000-0100-00002E000000}"/>
    <hyperlink ref="B56" r:id="rId48" xr:uid="{00000000-0004-0000-0100-00002F000000}"/>
    <hyperlink ref="B57" r:id="rId49" xr:uid="{00000000-0004-0000-0100-000030000000}"/>
    <hyperlink ref="B58" r:id="rId50" xr:uid="{00000000-0004-0000-0100-000031000000}"/>
    <hyperlink ref="B59" r:id="rId51" xr:uid="{00000000-0004-0000-0100-000032000000}"/>
    <hyperlink ref="B60" r:id="rId52" xr:uid="{00000000-0004-0000-0100-000033000000}"/>
    <hyperlink ref="B61" r:id="rId53" xr:uid="{00000000-0004-0000-0100-000034000000}"/>
    <hyperlink ref="B62" r:id="rId54" xr:uid="{00000000-0004-0000-0100-000035000000}"/>
    <hyperlink ref="B63" r:id="rId55" xr:uid="{00000000-0004-0000-0100-000036000000}"/>
    <hyperlink ref="B64" r:id="rId56" xr:uid="{00000000-0004-0000-0100-000037000000}"/>
    <hyperlink ref="B65" r:id="rId57" xr:uid="{00000000-0004-0000-0100-000038000000}"/>
    <hyperlink ref="B66" r:id="rId58" xr:uid="{00000000-0004-0000-0100-000039000000}"/>
    <hyperlink ref="B67" r:id="rId59" xr:uid="{00000000-0004-0000-0100-00003A000000}"/>
    <hyperlink ref="B68" r:id="rId60" xr:uid="{00000000-0004-0000-0100-00003B000000}"/>
    <hyperlink ref="B69" r:id="rId61" xr:uid="{00000000-0004-0000-0100-00003C000000}"/>
    <hyperlink ref="B70" r:id="rId62" xr:uid="{00000000-0004-0000-0100-00003D000000}"/>
    <hyperlink ref="B71" r:id="rId63" xr:uid="{00000000-0004-0000-0100-00003E000000}"/>
    <hyperlink ref="B72" r:id="rId64" xr:uid="{00000000-0004-0000-0100-00003F000000}"/>
    <hyperlink ref="B73" r:id="rId65" xr:uid="{00000000-0004-0000-0100-000040000000}"/>
    <hyperlink ref="B74" r:id="rId66" xr:uid="{00000000-0004-0000-0100-000041000000}"/>
    <hyperlink ref="B75" r:id="rId67" xr:uid="{00000000-0004-0000-0100-000042000000}"/>
    <hyperlink ref="B76" r:id="rId68" xr:uid="{00000000-0004-0000-0100-000043000000}"/>
    <hyperlink ref="B77" r:id="rId69" xr:uid="{00000000-0004-0000-0100-000044000000}"/>
    <hyperlink ref="B78" r:id="rId70" xr:uid="{00000000-0004-0000-0100-000045000000}"/>
    <hyperlink ref="B79" r:id="rId71" xr:uid="{00000000-0004-0000-0100-000046000000}"/>
    <hyperlink ref="B80" r:id="rId72" xr:uid="{00000000-0004-0000-0100-000047000000}"/>
    <hyperlink ref="B81" r:id="rId73" xr:uid="{00000000-0004-0000-0100-000048000000}"/>
    <hyperlink ref="B82" r:id="rId74" xr:uid="{00000000-0004-0000-0100-000049000000}"/>
    <hyperlink ref="B83" r:id="rId75" xr:uid="{00000000-0004-0000-0100-00004A000000}"/>
    <hyperlink ref="B84" r:id="rId76" xr:uid="{00000000-0004-0000-0100-00004B000000}"/>
    <hyperlink ref="B85" r:id="rId77" xr:uid="{00000000-0004-0000-0100-00004C000000}"/>
    <hyperlink ref="B86" r:id="rId78" xr:uid="{00000000-0004-0000-0100-00004D000000}"/>
    <hyperlink ref="B87" r:id="rId79" xr:uid="{00000000-0004-0000-0100-00004E000000}"/>
    <hyperlink ref="B88" r:id="rId80" xr:uid="{00000000-0004-0000-0100-00004F000000}"/>
    <hyperlink ref="B89" r:id="rId81" xr:uid="{00000000-0004-0000-0100-000050000000}"/>
    <hyperlink ref="B90" r:id="rId82" xr:uid="{00000000-0004-0000-0100-000051000000}"/>
    <hyperlink ref="B91" r:id="rId83" xr:uid="{00000000-0004-0000-0100-000052000000}"/>
    <hyperlink ref="B92" r:id="rId84" xr:uid="{00000000-0004-0000-0100-000053000000}"/>
    <hyperlink ref="B93" r:id="rId85" xr:uid="{00000000-0004-0000-0100-000054000000}"/>
    <hyperlink ref="B94" r:id="rId86" xr:uid="{00000000-0004-0000-0100-000055000000}"/>
    <hyperlink ref="B95" r:id="rId87" xr:uid="{00000000-0004-0000-0100-000056000000}"/>
    <hyperlink ref="B96" r:id="rId88" xr:uid="{00000000-0004-0000-0100-000057000000}"/>
    <hyperlink ref="B97" r:id="rId89" xr:uid="{00000000-0004-0000-0100-000058000000}"/>
    <hyperlink ref="B98" r:id="rId90" xr:uid="{00000000-0004-0000-0100-000059000000}"/>
    <hyperlink ref="B99" r:id="rId91" xr:uid="{00000000-0004-0000-0100-00005A000000}"/>
    <hyperlink ref="B100" r:id="rId92" xr:uid="{00000000-0004-0000-0100-00005B000000}"/>
    <hyperlink ref="B101" r:id="rId93" xr:uid="{00000000-0004-0000-0100-00005C000000}"/>
    <hyperlink ref="B102" r:id="rId94" xr:uid="{00000000-0004-0000-0100-00005D000000}"/>
    <hyperlink ref="B103" r:id="rId95" xr:uid="{00000000-0004-0000-0100-00005E000000}"/>
    <hyperlink ref="B104" r:id="rId96" xr:uid="{00000000-0004-0000-0100-00005F000000}"/>
    <hyperlink ref="B105" r:id="rId97" xr:uid="{00000000-0004-0000-0100-000060000000}"/>
    <hyperlink ref="B106" r:id="rId98" xr:uid="{00000000-0004-0000-0100-000061000000}"/>
    <hyperlink ref="B107" r:id="rId99" xr:uid="{00000000-0004-0000-0100-000062000000}"/>
    <hyperlink ref="B108" r:id="rId100" xr:uid="{00000000-0004-0000-0100-000063000000}"/>
    <hyperlink ref="B109" r:id="rId101" xr:uid="{00000000-0004-0000-0100-000064000000}"/>
    <hyperlink ref="B110" r:id="rId102" xr:uid="{00000000-0004-0000-0100-000065000000}"/>
    <hyperlink ref="B111" r:id="rId103" xr:uid="{00000000-0004-0000-0100-000066000000}"/>
    <hyperlink ref="B112" r:id="rId104" xr:uid="{00000000-0004-0000-0100-000067000000}"/>
    <hyperlink ref="B113" r:id="rId105" xr:uid="{00000000-0004-0000-0100-000068000000}"/>
    <hyperlink ref="B114" r:id="rId106" xr:uid="{00000000-0004-0000-0100-000069000000}"/>
  </hyperlinks>
  <pageMargins left="0.511811024" right="0.511811024" top="0.78740157499999996" bottom="0.78740157499999996"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959"/>
  <sheetViews>
    <sheetView workbookViewId="0"/>
  </sheetViews>
  <sheetFormatPr defaultColWidth="14.42578125" defaultRowHeight="15" customHeight="1"/>
  <cols>
    <col min="1" max="1" width="14.42578125" customWidth="1"/>
    <col min="2" max="2" width="59.140625" customWidth="1"/>
    <col min="3" max="3" width="58" customWidth="1"/>
    <col min="4" max="4" width="58.7109375" customWidth="1"/>
    <col min="5" max="27" width="8.7109375" customWidth="1"/>
  </cols>
  <sheetData>
    <row r="1" spans="1:4">
      <c r="A1" s="1"/>
      <c r="B1" s="3"/>
    </row>
    <row r="2" spans="1:4">
      <c r="A2" s="1" t="s">
        <v>2</v>
      </c>
      <c r="B2" s="4">
        <v>46239</v>
      </c>
    </row>
    <row r="3" spans="1:4">
      <c r="A3" s="2" t="s">
        <v>3</v>
      </c>
      <c r="B3" s="4"/>
    </row>
    <row r="4" spans="1:4">
      <c r="B4" s="5" t="s">
        <v>5</v>
      </c>
      <c r="C4" s="5" t="s">
        <v>6</v>
      </c>
      <c r="D4" s="5" t="s">
        <v>7</v>
      </c>
    </row>
    <row r="6" spans="1:4" ht="15.75" customHeight="1">
      <c r="A6" s="11">
        <f t="shared" ref="A6:A29" si="0">A7+1</f>
        <v>25</v>
      </c>
      <c r="B6" s="14" t="s">
        <v>19</v>
      </c>
      <c r="C6" s="15" t="s">
        <v>31</v>
      </c>
    </row>
    <row r="7" spans="1:4">
      <c r="A7" s="11">
        <f t="shared" si="0"/>
        <v>24</v>
      </c>
      <c r="B7" s="14" t="s">
        <v>34</v>
      </c>
      <c r="C7" s="15" t="s">
        <v>36</v>
      </c>
      <c r="D7" s="15" t="s">
        <v>37</v>
      </c>
    </row>
    <row r="8" spans="1:4" ht="15.75" customHeight="1">
      <c r="A8" s="11">
        <f t="shared" si="0"/>
        <v>23</v>
      </c>
      <c r="B8" s="14" t="s">
        <v>40</v>
      </c>
      <c r="C8" s="15" t="s">
        <v>43</v>
      </c>
    </row>
    <row r="9" spans="1:4" ht="15.75" customHeight="1">
      <c r="A9" s="11">
        <f t="shared" si="0"/>
        <v>22</v>
      </c>
      <c r="B9" s="14" t="s">
        <v>44</v>
      </c>
      <c r="C9" s="15" t="s">
        <v>49</v>
      </c>
    </row>
    <row r="10" spans="1:4">
      <c r="A10" s="11">
        <f t="shared" si="0"/>
        <v>21</v>
      </c>
      <c r="B10" s="14" t="s">
        <v>50</v>
      </c>
      <c r="C10" s="11" t="s">
        <v>53</v>
      </c>
      <c r="D10" s="15" t="s">
        <v>37</v>
      </c>
    </row>
    <row r="11" spans="1:4" ht="15.75" customHeight="1">
      <c r="A11" s="11">
        <f t="shared" si="0"/>
        <v>20</v>
      </c>
      <c r="B11" s="14" t="s">
        <v>54</v>
      </c>
      <c r="C11" s="15" t="s">
        <v>56</v>
      </c>
    </row>
    <row r="12" spans="1:4">
      <c r="A12" s="11">
        <f t="shared" si="0"/>
        <v>19</v>
      </c>
      <c r="B12" s="14" t="s">
        <v>58</v>
      </c>
      <c r="C12" s="15" t="s">
        <v>62</v>
      </c>
      <c r="D12" s="15" t="s">
        <v>37</v>
      </c>
    </row>
    <row r="13" spans="1:4">
      <c r="A13" s="11">
        <f t="shared" si="0"/>
        <v>18</v>
      </c>
      <c r="B13" s="14" t="s">
        <v>64</v>
      </c>
      <c r="C13" s="15" t="s">
        <v>70</v>
      </c>
      <c r="D13" s="15" t="s">
        <v>37</v>
      </c>
    </row>
    <row r="14" spans="1:4" ht="15.75" customHeight="1">
      <c r="A14" s="11">
        <f t="shared" si="0"/>
        <v>17</v>
      </c>
      <c r="B14" s="14" t="s">
        <v>71</v>
      </c>
      <c r="C14" s="15" t="s">
        <v>77</v>
      </c>
    </row>
    <row r="15" spans="1:4" ht="15.75" customHeight="1">
      <c r="A15" s="11">
        <f t="shared" si="0"/>
        <v>16</v>
      </c>
      <c r="B15" s="14" t="s">
        <v>79</v>
      </c>
      <c r="C15" s="15" t="s">
        <v>82</v>
      </c>
    </row>
    <row r="16" spans="1:4" ht="15.75" customHeight="1">
      <c r="A16" s="11">
        <f t="shared" si="0"/>
        <v>15</v>
      </c>
      <c r="B16" s="14" t="s">
        <v>85</v>
      </c>
      <c r="C16" s="15" t="s">
        <v>89</v>
      </c>
    </row>
    <row r="17" spans="1:4">
      <c r="A17" s="11">
        <f t="shared" si="0"/>
        <v>14</v>
      </c>
      <c r="B17" s="14" t="s">
        <v>92</v>
      </c>
      <c r="C17" s="15" t="s">
        <v>95</v>
      </c>
      <c r="D17" s="15" t="s">
        <v>37</v>
      </c>
    </row>
    <row r="18" spans="1:4" ht="15.75" customHeight="1">
      <c r="A18" s="11">
        <f t="shared" si="0"/>
        <v>13</v>
      </c>
      <c r="B18" s="14" t="s">
        <v>99</v>
      </c>
      <c r="C18" s="18" t="s">
        <v>103</v>
      </c>
    </row>
    <row r="19" spans="1:4" ht="15.75" customHeight="1">
      <c r="A19" s="11">
        <f t="shared" si="0"/>
        <v>12</v>
      </c>
      <c r="B19" s="14" t="s">
        <v>105</v>
      </c>
      <c r="C19" s="15" t="s">
        <v>108</v>
      </c>
    </row>
    <row r="20" spans="1:4" ht="15.75" customHeight="1">
      <c r="A20" s="11">
        <f t="shared" si="0"/>
        <v>11</v>
      </c>
      <c r="B20" s="14" t="s">
        <v>111</v>
      </c>
      <c r="C20" s="15" t="s">
        <v>115</v>
      </c>
    </row>
    <row r="21" spans="1:4">
      <c r="A21" s="11">
        <f t="shared" si="0"/>
        <v>10</v>
      </c>
      <c r="B21" s="14" t="s">
        <v>118</v>
      </c>
      <c r="C21" s="15" t="s">
        <v>123</v>
      </c>
      <c r="D21" s="15" t="s">
        <v>37</v>
      </c>
    </row>
    <row r="22" spans="1:4" ht="15.75" customHeight="1">
      <c r="A22" s="11">
        <f t="shared" si="0"/>
        <v>9</v>
      </c>
      <c r="B22" s="14" t="s">
        <v>125</v>
      </c>
      <c r="C22" s="15" t="s">
        <v>129</v>
      </c>
    </row>
    <row r="23" spans="1:4" ht="15.75" customHeight="1">
      <c r="A23" s="11">
        <f t="shared" si="0"/>
        <v>8</v>
      </c>
      <c r="B23" s="14" t="s">
        <v>131</v>
      </c>
      <c r="C23" s="18" t="s">
        <v>136</v>
      </c>
      <c r="D23" s="11" t="s">
        <v>137</v>
      </c>
    </row>
    <row r="24" spans="1:4" ht="15.75" customHeight="1">
      <c r="A24" s="11">
        <f t="shared" si="0"/>
        <v>7</v>
      </c>
      <c r="B24" s="24" t="s">
        <v>140</v>
      </c>
      <c r="C24" s="15" t="s">
        <v>144</v>
      </c>
      <c r="D24" s="15" t="s">
        <v>37</v>
      </c>
    </row>
    <row r="25" spans="1:4" ht="15.75" customHeight="1">
      <c r="A25" s="11">
        <f t="shared" si="0"/>
        <v>6</v>
      </c>
      <c r="B25" s="14" t="s">
        <v>147</v>
      </c>
      <c r="C25" s="18" t="s">
        <v>150</v>
      </c>
    </row>
    <row r="26" spans="1:4" ht="15.75" customHeight="1">
      <c r="A26" s="11">
        <f t="shared" si="0"/>
        <v>5</v>
      </c>
      <c r="B26" s="14" t="s">
        <v>154</v>
      </c>
      <c r="C26" s="15" t="s">
        <v>158</v>
      </c>
      <c r="D26" s="15" t="s">
        <v>37</v>
      </c>
    </row>
    <row r="27" spans="1:4">
      <c r="A27" s="11">
        <f t="shared" si="0"/>
        <v>4</v>
      </c>
      <c r="B27" s="14" t="s">
        <v>162</v>
      </c>
      <c r="C27" s="15" t="s">
        <v>169</v>
      </c>
    </row>
    <row r="28" spans="1:4" ht="15.75" customHeight="1">
      <c r="A28" s="11">
        <f t="shared" si="0"/>
        <v>3</v>
      </c>
      <c r="B28" s="24" t="s">
        <v>171</v>
      </c>
      <c r="C28" s="15" t="s">
        <v>178</v>
      </c>
      <c r="D28" s="15" t="s">
        <v>37</v>
      </c>
    </row>
    <row r="29" spans="1:4" ht="15.75" customHeight="1">
      <c r="A29" s="11">
        <f t="shared" si="0"/>
        <v>2</v>
      </c>
      <c r="B29" s="14" t="s">
        <v>179</v>
      </c>
      <c r="C29" s="15" t="s">
        <v>185</v>
      </c>
    </row>
    <row r="30" spans="1:4" ht="15.75" customHeight="1">
      <c r="A30" s="11">
        <v>1</v>
      </c>
      <c r="B30" s="14" t="s">
        <v>186</v>
      </c>
      <c r="C30" s="15" t="s">
        <v>192</v>
      </c>
    </row>
    <row r="32" spans="1:4" ht="15.75" customHeight="1">
      <c r="B32" s="25"/>
      <c r="C32" s="15"/>
    </row>
    <row r="33" spans="1:3">
      <c r="A33" s="26"/>
      <c r="B33" s="27" t="s">
        <v>202</v>
      </c>
    </row>
    <row r="35" spans="1:3" ht="15.75" customHeight="1">
      <c r="B35" s="25"/>
      <c r="C35" s="15"/>
    </row>
    <row r="40" spans="1:3" ht="15.75" customHeight="1">
      <c r="B40" s="25"/>
      <c r="C40" s="15"/>
    </row>
    <row r="43" spans="1:3" ht="15.75" customHeight="1"/>
    <row r="44" spans="1:3" ht="15.75" customHeight="1"/>
    <row r="45" spans="1:3" ht="15.75" customHeight="1"/>
    <row r="46" spans="1:3" ht="15.75" customHeight="1"/>
    <row r="47" spans="1:3" ht="15.75" customHeight="1"/>
    <row r="48" spans="1:3"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sheetData>
  <hyperlinks>
    <hyperlink ref="B6" r:id="rId1" xr:uid="{00000000-0004-0000-0200-000000000000}"/>
    <hyperlink ref="B7" r:id="rId2" xr:uid="{00000000-0004-0000-0200-000001000000}"/>
    <hyperlink ref="B8" r:id="rId3" xr:uid="{00000000-0004-0000-0200-000002000000}"/>
    <hyperlink ref="B9" r:id="rId4" xr:uid="{00000000-0004-0000-0200-000003000000}"/>
    <hyperlink ref="B10" r:id="rId5" xr:uid="{00000000-0004-0000-0200-000004000000}"/>
    <hyperlink ref="B11" r:id="rId6" xr:uid="{00000000-0004-0000-0200-000005000000}"/>
    <hyperlink ref="B12" r:id="rId7" xr:uid="{00000000-0004-0000-0200-000006000000}"/>
    <hyperlink ref="B13" r:id="rId8" xr:uid="{00000000-0004-0000-0200-000007000000}"/>
    <hyperlink ref="B14" r:id="rId9" xr:uid="{00000000-0004-0000-0200-000008000000}"/>
    <hyperlink ref="B15" r:id="rId10" xr:uid="{00000000-0004-0000-0200-000009000000}"/>
    <hyperlink ref="B16" r:id="rId11" xr:uid="{00000000-0004-0000-0200-00000A000000}"/>
    <hyperlink ref="B17" r:id="rId12" xr:uid="{00000000-0004-0000-0200-00000B000000}"/>
    <hyperlink ref="B18" r:id="rId13" xr:uid="{00000000-0004-0000-0200-00000C000000}"/>
    <hyperlink ref="B19" r:id="rId14" xr:uid="{00000000-0004-0000-0200-00000D000000}"/>
    <hyperlink ref="B20" r:id="rId15" xr:uid="{00000000-0004-0000-0200-00000E000000}"/>
    <hyperlink ref="B21" r:id="rId16" xr:uid="{00000000-0004-0000-0200-00000F000000}"/>
    <hyperlink ref="B22" r:id="rId17" xr:uid="{00000000-0004-0000-0200-000010000000}"/>
    <hyperlink ref="B23" r:id="rId18" xr:uid="{00000000-0004-0000-0200-000011000000}"/>
    <hyperlink ref="B24" r:id="rId19" xr:uid="{00000000-0004-0000-0200-000012000000}"/>
    <hyperlink ref="B25" r:id="rId20" xr:uid="{00000000-0004-0000-0200-000013000000}"/>
    <hyperlink ref="B26" r:id="rId21" xr:uid="{00000000-0004-0000-0200-000014000000}"/>
    <hyperlink ref="B27" r:id="rId22" xr:uid="{00000000-0004-0000-0200-000015000000}"/>
    <hyperlink ref="B28" r:id="rId23" xr:uid="{00000000-0004-0000-0200-000016000000}"/>
    <hyperlink ref="B29" r:id="rId24" xr:uid="{00000000-0004-0000-0200-000017000000}"/>
    <hyperlink ref="B30" r:id="rId25" xr:uid="{00000000-0004-0000-0200-000018000000}"/>
  </hyperlinks>
  <pageMargins left="0.511811024" right="0.511811024" top="0.78740157499999996" bottom="0.78740157499999996"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U1005"/>
  <sheetViews>
    <sheetView workbookViewId="0"/>
  </sheetViews>
  <sheetFormatPr defaultColWidth="14.42578125" defaultRowHeight="15" customHeight="1"/>
  <cols>
    <col min="1" max="1" width="14.42578125" customWidth="1"/>
    <col min="2" max="2" width="34.5703125" customWidth="1"/>
    <col min="3" max="3" width="56.5703125" customWidth="1"/>
    <col min="4" max="4" width="18.7109375" customWidth="1"/>
    <col min="5" max="5" width="15.140625" customWidth="1"/>
    <col min="6" max="6" width="14" customWidth="1"/>
    <col min="7" max="26" width="8.7109375" customWidth="1"/>
  </cols>
  <sheetData>
    <row r="2" spans="1:21">
      <c r="B2" s="2" t="s">
        <v>0</v>
      </c>
      <c r="C2" s="2"/>
    </row>
    <row r="3" spans="1:21">
      <c r="B3" s="2"/>
      <c r="C3" s="2"/>
    </row>
    <row r="4" spans="1:21">
      <c r="A4" s="2" t="s">
        <v>3</v>
      </c>
      <c r="B4" s="4">
        <v>46265</v>
      </c>
      <c r="C4" s="2"/>
    </row>
    <row r="5" spans="1:21">
      <c r="A5" s="2"/>
      <c r="B5" s="4"/>
      <c r="C5" s="2"/>
    </row>
    <row r="6" spans="1:21">
      <c r="B6" s="5" t="s">
        <v>5</v>
      </c>
      <c r="C6" s="5" t="s">
        <v>6</v>
      </c>
      <c r="E6" s="5" t="s">
        <v>9</v>
      </c>
      <c r="F6" s="5" t="s">
        <v>10</v>
      </c>
    </row>
    <row r="7" spans="1:21">
      <c r="B7" s="5"/>
      <c r="C7" s="5"/>
      <c r="D7" s="9" t="s">
        <v>11</v>
      </c>
      <c r="E7" s="9" t="s">
        <v>13</v>
      </c>
      <c r="F7" s="9" t="s">
        <v>14</v>
      </c>
      <c r="G7" s="9" t="s">
        <v>15</v>
      </c>
      <c r="H7" s="9" t="s">
        <v>9</v>
      </c>
      <c r="I7" s="9" t="s">
        <v>16</v>
      </c>
      <c r="J7" s="9" t="s">
        <v>17</v>
      </c>
      <c r="K7" s="9" t="s">
        <v>18</v>
      </c>
      <c r="L7" s="9" t="s">
        <v>21</v>
      </c>
      <c r="M7" s="9" t="s">
        <v>22</v>
      </c>
      <c r="N7" s="9" t="s">
        <v>23</v>
      </c>
      <c r="O7" s="9" t="s">
        <v>24</v>
      </c>
      <c r="P7" s="9" t="s">
        <v>25</v>
      </c>
      <c r="Q7" s="9" t="s">
        <v>26</v>
      </c>
      <c r="R7" s="9" t="s">
        <v>27</v>
      </c>
      <c r="S7" s="9" t="s">
        <v>28</v>
      </c>
      <c r="T7" s="9" t="s">
        <v>29</v>
      </c>
      <c r="U7" s="9"/>
    </row>
    <row r="8" spans="1:21" ht="40.5" customHeight="1">
      <c r="A8" s="6"/>
      <c r="B8" s="16" t="s">
        <v>32</v>
      </c>
      <c r="C8" s="17" t="s">
        <v>38</v>
      </c>
      <c r="D8" s="9"/>
      <c r="E8" s="9"/>
      <c r="F8" s="9"/>
      <c r="G8" s="9"/>
      <c r="H8" s="9"/>
      <c r="I8" s="9"/>
      <c r="J8" s="9"/>
      <c r="K8" s="9"/>
      <c r="L8" s="9"/>
      <c r="M8" s="9"/>
      <c r="N8" s="9"/>
      <c r="O8" s="9"/>
      <c r="P8" s="9"/>
      <c r="Q8" s="9"/>
      <c r="R8" s="9"/>
      <c r="S8" s="9"/>
      <c r="T8" s="9"/>
      <c r="U8" s="9"/>
    </row>
    <row r="9" spans="1:21" ht="43.5" customHeight="1">
      <c r="A9" s="6">
        <v>10</v>
      </c>
      <c r="B9" s="16" t="s">
        <v>42</v>
      </c>
      <c r="C9" s="22" t="s">
        <v>48</v>
      </c>
      <c r="D9" s="9">
        <v>3</v>
      </c>
      <c r="E9" s="9">
        <v>6</v>
      </c>
      <c r="F9" s="9">
        <v>5</v>
      </c>
      <c r="G9" s="9">
        <v>0</v>
      </c>
      <c r="H9" s="9">
        <v>0</v>
      </c>
      <c r="I9" s="9">
        <v>6</v>
      </c>
      <c r="J9" s="9">
        <v>1</v>
      </c>
      <c r="K9" s="9">
        <v>3</v>
      </c>
      <c r="L9" s="9">
        <v>0</v>
      </c>
      <c r="M9" s="9">
        <v>0</v>
      </c>
      <c r="N9" s="9">
        <v>1</v>
      </c>
      <c r="O9" s="9">
        <v>1</v>
      </c>
      <c r="P9" s="9">
        <v>5</v>
      </c>
      <c r="Q9" s="9">
        <v>0</v>
      </c>
      <c r="R9" s="9">
        <v>0</v>
      </c>
      <c r="S9" s="9">
        <v>0</v>
      </c>
      <c r="T9" s="9">
        <v>0</v>
      </c>
      <c r="U9" s="9"/>
    </row>
    <row r="10" spans="1:21" ht="40.5" customHeight="1">
      <c r="A10" s="6"/>
      <c r="B10" s="16" t="s">
        <v>57</v>
      </c>
      <c r="C10" s="17" t="s">
        <v>60</v>
      </c>
      <c r="D10" s="9"/>
      <c r="E10" s="9"/>
      <c r="F10" s="9"/>
      <c r="G10" s="9"/>
      <c r="H10" s="9"/>
      <c r="I10" s="9"/>
      <c r="J10" s="9"/>
      <c r="K10" s="9"/>
      <c r="L10" s="9"/>
      <c r="M10" s="9"/>
      <c r="N10" s="9"/>
      <c r="O10" s="9"/>
      <c r="P10" s="9"/>
      <c r="Q10" s="9"/>
      <c r="R10" s="9"/>
      <c r="S10" s="9"/>
      <c r="T10" s="9"/>
      <c r="U10" s="9"/>
    </row>
    <row r="11" spans="1:21" ht="33.75">
      <c r="A11" s="6"/>
      <c r="B11" s="16" t="s">
        <v>63</v>
      </c>
      <c r="C11" s="8" t="s">
        <v>69</v>
      </c>
      <c r="D11" s="9"/>
      <c r="E11" s="9"/>
      <c r="F11" s="9"/>
      <c r="G11" s="9"/>
      <c r="H11" s="9"/>
      <c r="I11" s="9"/>
      <c r="J11" s="9"/>
      <c r="K11" s="9"/>
      <c r="L11" s="9"/>
      <c r="M11" s="9"/>
      <c r="N11" s="9"/>
      <c r="O11" s="9"/>
      <c r="P11" s="9"/>
      <c r="Q11" s="9"/>
      <c r="R11" s="9"/>
      <c r="S11" s="9"/>
      <c r="T11" s="9"/>
      <c r="U11" s="9"/>
    </row>
    <row r="12" spans="1:21" ht="45">
      <c r="A12" s="6"/>
      <c r="B12" s="16" t="s">
        <v>75</v>
      </c>
      <c r="C12" s="8" t="s">
        <v>80</v>
      </c>
      <c r="D12" s="9"/>
      <c r="E12" s="9"/>
      <c r="F12" s="9"/>
      <c r="G12" s="9"/>
      <c r="H12" s="9"/>
      <c r="I12" s="9"/>
      <c r="J12" s="9"/>
      <c r="K12" s="9"/>
      <c r="L12" s="9"/>
      <c r="M12" s="9"/>
      <c r="N12" s="9"/>
      <c r="O12" s="9"/>
      <c r="P12" s="9"/>
      <c r="Q12" s="9"/>
      <c r="R12" s="9"/>
      <c r="S12" s="9"/>
      <c r="T12" s="9"/>
      <c r="U12" s="9"/>
    </row>
    <row r="13" spans="1:21" ht="42.75" customHeight="1">
      <c r="A13" s="6">
        <v>9</v>
      </c>
      <c r="B13" s="16" t="s">
        <v>83</v>
      </c>
      <c r="C13" s="22" t="s">
        <v>87</v>
      </c>
      <c r="D13" s="9">
        <v>22</v>
      </c>
      <c r="E13" s="9">
        <v>62</v>
      </c>
      <c r="F13" s="9">
        <v>34</v>
      </c>
      <c r="G13" s="9">
        <v>4</v>
      </c>
      <c r="H13" s="9">
        <v>1</v>
      </c>
      <c r="I13" s="9">
        <v>30</v>
      </c>
      <c r="J13" s="9">
        <v>1</v>
      </c>
      <c r="K13" s="9">
        <v>1</v>
      </c>
      <c r="L13" s="9">
        <v>1</v>
      </c>
      <c r="M13" s="9">
        <v>0</v>
      </c>
      <c r="N13" s="9">
        <v>14</v>
      </c>
      <c r="O13" s="9">
        <v>5</v>
      </c>
      <c r="P13" s="9">
        <v>43</v>
      </c>
      <c r="Q13" s="9">
        <v>7</v>
      </c>
      <c r="R13" s="9">
        <v>10</v>
      </c>
      <c r="S13" s="9">
        <v>1</v>
      </c>
      <c r="T13" s="9">
        <v>0</v>
      </c>
      <c r="U13" s="9"/>
    </row>
    <row r="14" spans="1:21" ht="55.5" customHeight="1">
      <c r="A14" s="6">
        <v>8</v>
      </c>
      <c r="B14" s="16" t="s">
        <v>97</v>
      </c>
      <c r="C14" s="22" t="s">
        <v>101</v>
      </c>
      <c r="D14" s="9">
        <v>17</v>
      </c>
      <c r="E14" s="9">
        <v>112</v>
      </c>
      <c r="F14" s="9">
        <v>377</v>
      </c>
      <c r="G14" s="9">
        <v>20</v>
      </c>
      <c r="H14" s="9">
        <v>10</v>
      </c>
      <c r="I14" s="9">
        <v>76</v>
      </c>
      <c r="J14" s="9">
        <v>12</v>
      </c>
      <c r="K14" s="9">
        <v>23</v>
      </c>
      <c r="L14" s="9">
        <v>5</v>
      </c>
      <c r="M14" s="9">
        <v>3</v>
      </c>
      <c r="N14" s="9">
        <v>48</v>
      </c>
      <c r="O14" s="9">
        <v>5</v>
      </c>
      <c r="P14" s="9">
        <v>140</v>
      </c>
      <c r="Q14" s="9">
        <v>2</v>
      </c>
      <c r="R14" s="9">
        <v>11</v>
      </c>
      <c r="S14" s="9">
        <v>0</v>
      </c>
      <c r="T14" s="9">
        <v>3</v>
      </c>
      <c r="U14" s="9"/>
    </row>
    <row r="15" spans="1:21" ht="30">
      <c r="A15" s="6"/>
      <c r="B15" s="16" t="s">
        <v>107</v>
      </c>
      <c r="C15" s="8" t="s">
        <v>113</v>
      </c>
      <c r="D15" s="9"/>
      <c r="E15" s="9"/>
      <c r="F15" s="9"/>
      <c r="G15" s="9"/>
      <c r="H15" s="9"/>
      <c r="I15" s="9"/>
      <c r="J15" s="9"/>
      <c r="K15" s="9"/>
      <c r="L15" s="9"/>
      <c r="M15" s="9"/>
      <c r="N15" s="9"/>
      <c r="O15" s="9"/>
      <c r="P15" s="9"/>
      <c r="Q15" s="9"/>
      <c r="R15" s="9"/>
      <c r="S15" s="9"/>
      <c r="T15" s="9"/>
      <c r="U15" s="9"/>
    </row>
    <row r="16" spans="1:21" ht="35.25" customHeight="1">
      <c r="A16" s="6">
        <v>7</v>
      </c>
      <c r="B16" s="16" t="s">
        <v>117</v>
      </c>
      <c r="C16" s="23" t="s">
        <v>122</v>
      </c>
      <c r="D16" s="9">
        <v>30</v>
      </c>
      <c r="E16" s="9">
        <v>65</v>
      </c>
      <c r="F16" s="9">
        <v>78</v>
      </c>
      <c r="G16" s="9">
        <v>13</v>
      </c>
      <c r="H16" s="9">
        <v>4</v>
      </c>
      <c r="I16" s="9">
        <v>73</v>
      </c>
      <c r="J16" s="9">
        <v>3</v>
      </c>
      <c r="K16" s="9">
        <v>21</v>
      </c>
      <c r="L16" s="9">
        <v>6</v>
      </c>
      <c r="M16" s="9">
        <v>3</v>
      </c>
      <c r="N16" s="9">
        <v>30</v>
      </c>
      <c r="O16" s="9">
        <v>3</v>
      </c>
      <c r="P16" s="9">
        <v>74</v>
      </c>
      <c r="Q16" s="9">
        <v>6</v>
      </c>
      <c r="R16" s="9">
        <v>6</v>
      </c>
      <c r="S16" s="9">
        <v>0</v>
      </c>
      <c r="T16" s="9">
        <v>2</v>
      </c>
      <c r="U16" s="9"/>
    </row>
    <row r="17" spans="1:21" ht="36.75" customHeight="1">
      <c r="A17" s="6">
        <v>6</v>
      </c>
      <c r="B17" s="16" t="s">
        <v>132</v>
      </c>
      <c r="C17" s="22" t="s">
        <v>135</v>
      </c>
      <c r="D17" s="9">
        <v>11</v>
      </c>
      <c r="E17" s="9">
        <v>31</v>
      </c>
      <c r="F17" s="9">
        <v>50</v>
      </c>
      <c r="G17" s="9">
        <v>4</v>
      </c>
      <c r="H17" s="9">
        <v>1</v>
      </c>
      <c r="I17" s="9">
        <v>42</v>
      </c>
      <c r="J17" s="9">
        <v>32</v>
      </c>
      <c r="K17" s="9">
        <v>1</v>
      </c>
      <c r="L17" s="9">
        <v>0</v>
      </c>
      <c r="M17" s="9">
        <v>0</v>
      </c>
      <c r="N17" s="9">
        <v>20</v>
      </c>
      <c r="O17" s="9">
        <v>4</v>
      </c>
      <c r="P17" s="9">
        <v>161</v>
      </c>
      <c r="Q17" s="9">
        <v>2</v>
      </c>
      <c r="R17" s="9">
        <v>14</v>
      </c>
      <c r="S17" s="9">
        <v>4</v>
      </c>
      <c r="T17" s="9">
        <v>3</v>
      </c>
      <c r="U17" s="9"/>
    </row>
    <row r="18" spans="1:21" ht="30">
      <c r="A18" s="6">
        <v>5</v>
      </c>
      <c r="B18" s="16" t="s">
        <v>143</v>
      </c>
      <c r="C18" s="8" t="s">
        <v>149</v>
      </c>
      <c r="D18" s="9"/>
      <c r="E18" s="9"/>
      <c r="F18" s="9"/>
      <c r="G18" s="9"/>
      <c r="H18" s="9"/>
      <c r="I18" s="9"/>
      <c r="J18" s="9"/>
      <c r="K18" s="9"/>
      <c r="L18" s="9"/>
      <c r="M18" s="9"/>
      <c r="N18" s="9"/>
      <c r="O18" s="9"/>
      <c r="P18" s="9"/>
      <c r="Q18" s="9"/>
      <c r="R18" s="9"/>
      <c r="S18" s="9"/>
      <c r="T18" s="9"/>
      <c r="U18" s="9"/>
    </row>
    <row r="19" spans="1:21" ht="30">
      <c r="A19" s="6">
        <v>4</v>
      </c>
      <c r="B19" s="16" t="s">
        <v>152</v>
      </c>
      <c r="C19" s="8" t="s">
        <v>157</v>
      </c>
      <c r="D19" s="9"/>
      <c r="E19" s="9"/>
      <c r="F19" s="9"/>
      <c r="G19" s="9"/>
      <c r="H19" s="9"/>
      <c r="I19" s="9"/>
      <c r="J19" s="9"/>
      <c r="K19" s="9"/>
      <c r="L19" s="9"/>
      <c r="M19" s="9"/>
      <c r="N19" s="9"/>
      <c r="O19" s="9"/>
      <c r="P19" s="9"/>
      <c r="Q19" s="9"/>
      <c r="R19" s="9"/>
      <c r="S19" s="9"/>
      <c r="T19" s="9"/>
      <c r="U19" s="9"/>
    </row>
    <row r="20" spans="1:21" ht="30">
      <c r="A20" s="6">
        <v>3</v>
      </c>
      <c r="B20" s="16" t="s">
        <v>163</v>
      </c>
      <c r="C20" s="8" t="s">
        <v>167</v>
      </c>
      <c r="D20" s="9"/>
      <c r="E20" s="9"/>
      <c r="F20" s="9"/>
      <c r="G20" s="9"/>
      <c r="H20" s="9"/>
      <c r="I20" s="9"/>
      <c r="J20" s="9"/>
      <c r="K20" s="9"/>
      <c r="L20" s="9"/>
      <c r="M20" s="9"/>
      <c r="N20" s="9"/>
      <c r="O20" s="9"/>
      <c r="P20" s="9"/>
      <c r="Q20" s="9"/>
      <c r="R20" s="9"/>
      <c r="S20" s="9"/>
      <c r="T20" s="9"/>
      <c r="U20" s="9"/>
    </row>
    <row r="21" spans="1:21" ht="30">
      <c r="A21" s="6">
        <v>2</v>
      </c>
      <c r="B21" s="16" t="s">
        <v>172</v>
      </c>
      <c r="C21" s="8" t="s">
        <v>177</v>
      </c>
      <c r="D21" s="9"/>
      <c r="E21" s="9"/>
      <c r="F21" s="9"/>
      <c r="G21" s="9"/>
      <c r="H21" s="9"/>
      <c r="I21" s="9"/>
      <c r="J21" s="9"/>
      <c r="K21" s="9"/>
      <c r="L21" s="9"/>
      <c r="M21" s="9"/>
      <c r="N21" s="9"/>
      <c r="O21" s="9"/>
      <c r="P21" s="9"/>
      <c r="Q21" s="9"/>
      <c r="R21" s="9"/>
      <c r="S21" s="9"/>
      <c r="T21" s="9"/>
      <c r="U21" s="9"/>
    </row>
    <row r="22" spans="1:21" ht="30">
      <c r="A22" s="6">
        <v>1</v>
      </c>
      <c r="B22" s="16" t="s">
        <v>182</v>
      </c>
      <c r="C22" s="8" t="s">
        <v>187</v>
      </c>
      <c r="D22" s="9"/>
      <c r="E22" s="9"/>
      <c r="F22" s="9"/>
      <c r="G22" s="9"/>
      <c r="H22" s="9"/>
      <c r="I22" s="9"/>
      <c r="J22" s="9"/>
      <c r="K22" s="9"/>
      <c r="L22" s="9"/>
      <c r="M22" s="9"/>
      <c r="N22" s="9"/>
      <c r="O22" s="9"/>
      <c r="P22" s="9"/>
      <c r="Q22" s="9"/>
      <c r="R22" s="9"/>
      <c r="S22" s="9"/>
      <c r="T22" s="9"/>
      <c r="U22" s="9"/>
    </row>
    <row r="26" spans="1:21" ht="15.75" customHeight="1"/>
    <row r="27" spans="1:21" ht="15.75" customHeight="1"/>
    <row r="28" spans="1:21" ht="15.75" customHeight="1"/>
    <row r="29" spans="1:21" ht="15.75" customHeight="1"/>
    <row r="30" spans="1:21" ht="15.75" customHeight="1"/>
    <row r="31" spans="1:21" ht="15.75" customHeight="1"/>
    <row r="32" spans="1:21"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sheetData>
  <hyperlinks>
    <hyperlink ref="B8" r:id="rId1" xr:uid="{00000000-0004-0000-0300-000000000000}"/>
    <hyperlink ref="B9" r:id="rId2" xr:uid="{00000000-0004-0000-0300-000001000000}"/>
    <hyperlink ref="C9" r:id="rId3" xr:uid="{00000000-0004-0000-0300-000002000000}"/>
    <hyperlink ref="B10" r:id="rId4" xr:uid="{00000000-0004-0000-0300-000003000000}"/>
    <hyperlink ref="B11" r:id="rId5" xr:uid="{00000000-0004-0000-0300-000004000000}"/>
    <hyperlink ref="B12" r:id="rId6" xr:uid="{00000000-0004-0000-0300-000005000000}"/>
    <hyperlink ref="B13" r:id="rId7" xr:uid="{00000000-0004-0000-0300-000006000000}"/>
    <hyperlink ref="C13" r:id="rId8" xr:uid="{00000000-0004-0000-0300-000007000000}"/>
    <hyperlink ref="B14" r:id="rId9" xr:uid="{00000000-0004-0000-0300-000008000000}"/>
    <hyperlink ref="C14" r:id="rId10" xr:uid="{00000000-0004-0000-0300-000009000000}"/>
    <hyperlink ref="B15" r:id="rId11" xr:uid="{00000000-0004-0000-0300-00000A000000}"/>
    <hyperlink ref="B16" r:id="rId12" xr:uid="{00000000-0004-0000-0300-00000B000000}"/>
    <hyperlink ref="C16" r:id="rId13" xr:uid="{00000000-0004-0000-0300-00000C000000}"/>
    <hyperlink ref="B17" r:id="rId14" xr:uid="{00000000-0004-0000-0300-00000D000000}"/>
    <hyperlink ref="C17" r:id="rId15" xr:uid="{00000000-0004-0000-0300-00000E000000}"/>
    <hyperlink ref="B18" r:id="rId16" xr:uid="{00000000-0004-0000-0300-00000F000000}"/>
    <hyperlink ref="B19" r:id="rId17" xr:uid="{00000000-0004-0000-0300-000010000000}"/>
    <hyperlink ref="B20" r:id="rId18" xr:uid="{00000000-0004-0000-0300-000011000000}"/>
    <hyperlink ref="B21" r:id="rId19" xr:uid="{00000000-0004-0000-0300-000012000000}"/>
    <hyperlink ref="B22" r:id="rId20" xr:uid="{00000000-0004-0000-0300-000013000000}"/>
  </hyperlinks>
  <pageMargins left="0.511811024" right="0.511811024" top="0.78740157499999996" bottom="0.78740157499999996"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X1000"/>
  <sheetViews>
    <sheetView workbookViewId="0"/>
  </sheetViews>
  <sheetFormatPr defaultColWidth="14.42578125" defaultRowHeight="15" customHeight="1"/>
  <cols>
    <col min="1" max="1" width="14.42578125" customWidth="1"/>
    <col min="2" max="2" width="22.42578125" customWidth="1"/>
    <col min="3" max="3" width="52.5703125" customWidth="1"/>
    <col min="4" max="4" width="10" customWidth="1"/>
    <col min="5" max="5" width="77.85546875" customWidth="1"/>
    <col min="6" max="25" width="8.7109375" customWidth="1"/>
  </cols>
  <sheetData>
    <row r="2" spans="1:24">
      <c r="A2" s="2" t="s">
        <v>3</v>
      </c>
      <c r="B2" s="4">
        <v>46261</v>
      </c>
    </row>
    <row r="3" spans="1:24">
      <c r="H3" s="5" t="s">
        <v>10</v>
      </c>
    </row>
    <row r="4" spans="1:24">
      <c r="B4" s="5" t="s">
        <v>5</v>
      </c>
      <c r="C4" s="5" t="s">
        <v>6</v>
      </c>
      <c r="D4" s="5" t="s">
        <v>9</v>
      </c>
      <c r="E4" s="5" t="s">
        <v>235</v>
      </c>
      <c r="F4" s="11" t="s">
        <v>236</v>
      </c>
      <c r="G4" s="28" t="s">
        <v>13</v>
      </c>
      <c r="H4" s="28" t="s">
        <v>14</v>
      </c>
      <c r="I4" s="28" t="s">
        <v>15</v>
      </c>
      <c r="J4" s="28" t="s">
        <v>9</v>
      </c>
      <c r="K4" s="28" t="s">
        <v>16</v>
      </c>
      <c r="L4" s="11" t="s">
        <v>17</v>
      </c>
      <c r="M4" s="11" t="s">
        <v>18</v>
      </c>
      <c r="N4" s="11" t="s">
        <v>21</v>
      </c>
      <c r="O4" s="11" t="s">
        <v>22</v>
      </c>
      <c r="P4" s="11" t="s">
        <v>23</v>
      </c>
      <c r="Q4" s="11" t="s">
        <v>24</v>
      </c>
      <c r="R4" s="11" t="s">
        <v>25</v>
      </c>
      <c r="S4" s="11" t="s">
        <v>26</v>
      </c>
      <c r="T4" s="11" t="s">
        <v>244</v>
      </c>
      <c r="U4" s="11" t="s">
        <v>28</v>
      </c>
      <c r="V4" s="11" t="s">
        <v>29</v>
      </c>
      <c r="W4" s="11" t="s">
        <v>245</v>
      </c>
    </row>
    <row r="5" spans="1:24">
      <c r="B5" s="5"/>
      <c r="C5" s="5"/>
      <c r="D5" s="5"/>
      <c r="E5" s="5"/>
    </row>
    <row r="6" spans="1:24">
      <c r="B6" s="5"/>
      <c r="C6" s="5"/>
      <c r="D6" s="5"/>
      <c r="E6" s="5"/>
    </row>
    <row r="7" spans="1:24" ht="409.5">
      <c r="A7" s="6">
        <v>36</v>
      </c>
      <c r="B7" s="16" t="s">
        <v>250</v>
      </c>
      <c r="C7" s="8" t="s">
        <v>255</v>
      </c>
      <c r="D7" s="6"/>
      <c r="E7" s="17" t="s">
        <v>256</v>
      </c>
      <c r="F7" s="9">
        <v>1</v>
      </c>
      <c r="G7" s="9">
        <v>5</v>
      </c>
      <c r="H7" s="9">
        <v>0</v>
      </c>
      <c r="I7" s="9">
        <v>0</v>
      </c>
      <c r="J7" s="9">
        <v>1</v>
      </c>
      <c r="K7" s="9">
        <v>1</v>
      </c>
      <c r="L7" s="9">
        <v>0</v>
      </c>
      <c r="M7" s="9">
        <v>0</v>
      </c>
      <c r="N7" s="9">
        <v>1</v>
      </c>
      <c r="O7" s="9">
        <v>1</v>
      </c>
      <c r="P7" s="9">
        <v>0</v>
      </c>
      <c r="Q7" s="9">
        <v>0</v>
      </c>
      <c r="R7" s="9">
        <v>0</v>
      </c>
      <c r="S7" s="9">
        <v>7</v>
      </c>
      <c r="T7" s="9">
        <v>15</v>
      </c>
      <c r="U7" s="9">
        <v>0</v>
      </c>
      <c r="V7" s="9">
        <v>0</v>
      </c>
      <c r="W7" s="9">
        <v>1</v>
      </c>
    </row>
    <row r="8" spans="1:24" ht="375">
      <c r="A8" s="6">
        <v>35</v>
      </c>
      <c r="B8" s="16" t="s">
        <v>261</v>
      </c>
      <c r="C8" s="8" t="s">
        <v>266</v>
      </c>
      <c r="D8" s="6"/>
      <c r="E8" s="17" t="s">
        <v>267</v>
      </c>
      <c r="F8" s="9">
        <v>3</v>
      </c>
      <c r="G8" s="9">
        <v>5</v>
      </c>
      <c r="H8" s="9">
        <v>5</v>
      </c>
      <c r="I8" s="9">
        <v>0</v>
      </c>
      <c r="J8" s="9">
        <v>4</v>
      </c>
      <c r="K8" s="9">
        <v>4</v>
      </c>
      <c r="L8" s="9">
        <v>3</v>
      </c>
      <c r="M8" s="9">
        <v>0</v>
      </c>
      <c r="N8" s="9">
        <v>0</v>
      </c>
      <c r="O8" s="9">
        <v>3</v>
      </c>
      <c r="P8" s="9">
        <v>0</v>
      </c>
      <c r="Q8" s="9">
        <v>0</v>
      </c>
      <c r="R8" s="9">
        <v>4</v>
      </c>
      <c r="S8" s="9">
        <v>1</v>
      </c>
      <c r="T8" s="9">
        <v>1</v>
      </c>
      <c r="U8" s="9">
        <v>0</v>
      </c>
      <c r="V8" s="9">
        <v>0</v>
      </c>
      <c r="W8" s="9">
        <v>1</v>
      </c>
    </row>
    <row r="9" spans="1:24" ht="135">
      <c r="A9" s="6">
        <v>34</v>
      </c>
      <c r="B9" s="16" t="s">
        <v>272</v>
      </c>
      <c r="C9" s="8" t="s">
        <v>279</v>
      </c>
      <c r="D9" s="6"/>
      <c r="E9" s="17" t="s">
        <v>283</v>
      </c>
      <c r="F9" s="9">
        <v>1</v>
      </c>
      <c r="G9" s="9">
        <v>0</v>
      </c>
      <c r="H9" s="9">
        <v>1</v>
      </c>
      <c r="I9" s="9">
        <v>0</v>
      </c>
      <c r="J9" s="9">
        <v>0</v>
      </c>
      <c r="K9" s="9">
        <v>1</v>
      </c>
      <c r="L9" s="9">
        <v>0</v>
      </c>
      <c r="M9" s="9">
        <v>0</v>
      </c>
      <c r="N9" s="9">
        <v>0</v>
      </c>
      <c r="O9" s="9">
        <v>0</v>
      </c>
      <c r="P9" s="9">
        <v>0</v>
      </c>
      <c r="Q9" s="9">
        <v>0</v>
      </c>
      <c r="R9" s="9">
        <v>0</v>
      </c>
      <c r="S9" s="9">
        <v>0</v>
      </c>
      <c r="T9" s="9">
        <v>0</v>
      </c>
      <c r="U9" s="9">
        <v>0</v>
      </c>
      <c r="V9" s="9">
        <v>0</v>
      </c>
      <c r="W9" s="9">
        <v>1</v>
      </c>
    </row>
    <row r="10" spans="1:24" ht="210">
      <c r="A10" s="6">
        <v>33</v>
      </c>
      <c r="B10" s="16" t="s">
        <v>287</v>
      </c>
      <c r="C10" s="8" t="s">
        <v>292</v>
      </c>
      <c r="D10" s="6"/>
      <c r="E10" s="17" t="s">
        <v>295</v>
      </c>
      <c r="F10" s="9">
        <v>1</v>
      </c>
      <c r="G10" s="9">
        <v>1</v>
      </c>
      <c r="H10" s="9">
        <v>5</v>
      </c>
      <c r="I10" s="9">
        <v>1</v>
      </c>
      <c r="J10" s="9">
        <v>0</v>
      </c>
      <c r="K10" s="9">
        <v>3</v>
      </c>
      <c r="L10" s="9">
        <v>0</v>
      </c>
      <c r="M10" s="9">
        <v>0</v>
      </c>
      <c r="N10" s="9">
        <v>0</v>
      </c>
      <c r="O10" s="9">
        <v>0</v>
      </c>
      <c r="P10" s="9">
        <v>0</v>
      </c>
      <c r="Q10" s="9">
        <v>0</v>
      </c>
      <c r="R10" s="9">
        <v>1</v>
      </c>
      <c r="S10" s="9">
        <v>1</v>
      </c>
      <c r="T10" s="9">
        <v>0</v>
      </c>
      <c r="U10" s="9">
        <v>0</v>
      </c>
      <c r="V10" s="9">
        <v>0</v>
      </c>
      <c r="W10" s="9">
        <v>1</v>
      </c>
      <c r="X10" s="9"/>
    </row>
    <row r="11" spans="1:24" ht="45">
      <c r="A11" s="6">
        <v>32</v>
      </c>
      <c r="B11" s="16" t="s">
        <v>302</v>
      </c>
      <c r="C11" s="8" t="s">
        <v>306</v>
      </c>
      <c r="D11" s="6"/>
      <c r="E11" s="11" t="s">
        <v>308</v>
      </c>
      <c r="F11" s="9">
        <v>1</v>
      </c>
      <c r="G11" s="9">
        <v>0</v>
      </c>
      <c r="H11" s="9">
        <v>0</v>
      </c>
      <c r="I11" s="9">
        <v>0</v>
      </c>
      <c r="J11" s="9">
        <v>0</v>
      </c>
      <c r="K11" s="9">
        <v>0</v>
      </c>
      <c r="L11" s="9">
        <v>0</v>
      </c>
      <c r="M11" s="9">
        <v>0</v>
      </c>
      <c r="N11" s="9">
        <v>0</v>
      </c>
      <c r="O11" s="9">
        <v>0</v>
      </c>
      <c r="P11" s="9">
        <v>0</v>
      </c>
      <c r="Q11" s="9">
        <v>1</v>
      </c>
      <c r="R11" s="9">
        <v>0</v>
      </c>
      <c r="S11" s="9">
        <v>0</v>
      </c>
      <c r="T11" s="9">
        <v>0</v>
      </c>
      <c r="U11" s="9">
        <v>0</v>
      </c>
      <c r="V11" s="9">
        <v>0</v>
      </c>
      <c r="W11" s="9">
        <v>1</v>
      </c>
      <c r="X11" s="9"/>
    </row>
    <row r="12" spans="1:24" ht="90">
      <c r="A12" s="6">
        <v>31</v>
      </c>
      <c r="B12" s="16" t="s">
        <v>315</v>
      </c>
      <c r="C12" s="8" t="s">
        <v>322</v>
      </c>
      <c r="D12" s="6"/>
      <c r="E12" s="17" t="s">
        <v>323</v>
      </c>
      <c r="F12" s="9">
        <v>1</v>
      </c>
      <c r="G12" s="9">
        <v>0</v>
      </c>
      <c r="H12" s="9">
        <v>1</v>
      </c>
      <c r="I12" s="9">
        <v>0</v>
      </c>
      <c r="J12" s="9">
        <v>0</v>
      </c>
      <c r="K12" s="9">
        <v>0</v>
      </c>
      <c r="L12" s="9">
        <v>0</v>
      </c>
      <c r="M12" s="9">
        <v>0</v>
      </c>
      <c r="N12" s="9">
        <v>0</v>
      </c>
      <c r="O12" s="9">
        <v>0</v>
      </c>
      <c r="P12" s="9">
        <v>0</v>
      </c>
      <c r="Q12" s="9">
        <v>0</v>
      </c>
      <c r="R12" s="9">
        <v>0</v>
      </c>
      <c r="S12" s="9">
        <v>0</v>
      </c>
      <c r="T12" s="9">
        <v>0</v>
      </c>
      <c r="U12" s="9">
        <v>0</v>
      </c>
      <c r="V12" s="9">
        <v>0</v>
      </c>
      <c r="W12" s="9">
        <v>1</v>
      </c>
    </row>
    <row r="13" spans="1:24" ht="45">
      <c r="A13" s="6">
        <v>30</v>
      </c>
      <c r="B13" s="16" t="s">
        <v>327</v>
      </c>
      <c r="C13" s="8" t="s">
        <v>333</v>
      </c>
      <c r="D13" s="6"/>
      <c r="E13" s="11" t="s">
        <v>334</v>
      </c>
      <c r="F13" s="9">
        <v>1</v>
      </c>
      <c r="G13" s="9">
        <v>0</v>
      </c>
      <c r="H13" s="9">
        <v>0</v>
      </c>
      <c r="I13" s="9">
        <v>0</v>
      </c>
      <c r="J13" s="9">
        <v>0</v>
      </c>
      <c r="K13" s="9">
        <v>0</v>
      </c>
      <c r="L13" s="9">
        <v>0</v>
      </c>
      <c r="M13" s="9">
        <v>0</v>
      </c>
      <c r="N13" s="9">
        <v>0</v>
      </c>
      <c r="O13" s="9">
        <v>0</v>
      </c>
      <c r="P13" s="9">
        <v>0</v>
      </c>
      <c r="Q13" s="9">
        <v>0</v>
      </c>
      <c r="R13" s="9">
        <v>1</v>
      </c>
      <c r="S13" s="9">
        <v>0</v>
      </c>
      <c r="T13" s="9">
        <v>0</v>
      </c>
      <c r="U13" s="9">
        <v>0</v>
      </c>
      <c r="V13" s="9">
        <v>0</v>
      </c>
      <c r="W13" s="9">
        <v>1</v>
      </c>
    </row>
    <row r="14" spans="1:24" ht="45">
      <c r="A14" s="6">
        <v>29</v>
      </c>
      <c r="B14" s="16" t="s">
        <v>338</v>
      </c>
      <c r="C14" s="8" t="s">
        <v>343</v>
      </c>
      <c r="D14" s="6"/>
      <c r="E14" s="11" t="s">
        <v>344</v>
      </c>
      <c r="F14" s="9">
        <v>0</v>
      </c>
      <c r="G14" s="9">
        <v>1</v>
      </c>
      <c r="H14" s="9">
        <v>0</v>
      </c>
      <c r="I14" s="9">
        <v>0</v>
      </c>
      <c r="J14" s="9">
        <v>0</v>
      </c>
      <c r="K14" s="9">
        <v>0</v>
      </c>
      <c r="L14" s="9">
        <v>0</v>
      </c>
      <c r="M14" s="9">
        <v>0</v>
      </c>
      <c r="N14" s="9">
        <v>0</v>
      </c>
      <c r="O14" s="9">
        <v>0</v>
      </c>
      <c r="P14" s="9">
        <v>0</v>
      </c>
      <c r="Q14" s="9">
        <v>0</v>
      </c>
      <c r="R14" s="9">
        <v>0</v>
      </c>
      <c r="S14" s="9">
        <v>0</v>
      </c>
      <c r="T14" s="9">
        <v>0</v>
      </c>
      <c r="U14" s="9">
        <v>0</v>
      </c>
      <c r="V14" s="9">
        <v>0</v>
      </c>
      <c r="W14" s="9">
        <v>1</v>
      </c>
    </row>
    <row r="15" spans="1:24" ht="45">
      <c r="A15" s="6">
        <v>28</v>
      </c>
      <c r="B15" s="16" t="s">
        <v>349</v>
      </c>
      <c r="C15" s="8" t="s">
        <v>356</v>
      </c>
      <c r="D15" s="6"/>
      <c r="E15" s="33" t="s">
        <v>357</v>
      </c>
      <c r="F15" s="9">
        <v>0</v>
      </c>
      <c r="G15" s="9">
        <v>1</v>
      </c>
      <c r="H15" s="9">
        <v>0</v>
      </c>
      <c r="I15" s="9">
        <v>0</v>
      </c>
      <c r="J15" s="9">
        <v>0</v>
      </c>
      <c r="K15" s="9">
        <v>0</v>
      </c>
      <c r="L15" s="9">
        <v>0</v>
      </c>
      <c r="M15" s="9">
        <v>0</v>
      </c>
      <c r="N15" s="9">
        <v>0</v>
      </c>
      <c r="O15" s="9">
        <v>0</v>
      </c>
      <c r="P15" s="9">
        <v>0</v>
      </c>
      <c r="Q15" s="9">
        <v>0</v>
      </c>
      <c r="R15" s="9">
        <v>0</v>
      </c>
      <c r="S15" s="9">
        <v>0</v>
      </c>
      <c r="T15" s="9">
        <v>0</v>
      </c>
      <c r="U15" s="9">
        <v>0</v>
      </c>
      <c r="V15" s="9">
        <v>0</v>
      </c>
      <c r="W15" s="9">
        <v>1</v>
      </c>
    </row>
    <row r="16" spans="1:24" ht="45">
      <c r="A16" s="6">
        <v>27</v>
      </c>
      <c r="B16" s="16" t="s">
        <v>363</v>
      </c>
      <c r="C16" s="8" t="s">
        <v>366</v>
      </c>
      <c r="D16" s="6"/>
      <c r="E16" s="34" t="s">
        <v>367</v>
      </c>
    </row>
    <row r="17" spans="1:23" ht="45">
      <c r="A17" s="6">
        <v>26</v>
      </c>
      <c r="B17" s="16" t="s">
        <v>369</v>
      </c>
      <c r="C17" s="8" t="s">
        <v>375</v>
      </c>
      <c r="D17" s="6"/>
      <c r="E17" s="34" t="s">
        <v>376</v>
      </c>
    </row>
    <row r="18" spans="1:23" ht="45">
      <c r="A18" s="6">
        <v>25</v>
      </c>
      <c r="B18" s="16" t="s">
        <v>378</v>
      </c>
      <c r="C18" s="8" t="s">
        <v>384</v>
      </c>
      <c r="D18" s="6"/>
      <c r="E18" s="34" t="s">
        <v>386</v>
      </c>
    </row>
    <row r="19" spans="1:23" ht="45">
      <c r="A19" s="6">
        <v>24</v>
      </c>
      <c r="B19" s="16" t="s">
        <v>389</v>
      </c>
      <c r="C19" s="8" t="s">
        <v>392</v>
      </c>
      <c r="D19" s="6"/>
      <c r="E19" s="34" t="s">
        <v>386</v>
      </c>
    </row>
    <row r="20" spans="1:23" ht="45">
      <c r="A20" s="6">
        <v>23</v>
      </c>
      <c r="B20" s="16" t="s">
        <v>394</v>
      </c>
      <c r="C20" s="8" t="s">
        <v>398</v>
      </c>
      <c r="D20" s="6"/>
      <c r="E20" s="36" t="s">
        <v>399</v>
      </c>
    </row>
    <row r="21" spans="1:23" ht="15.75" customHeight="1">
      <c r="A21" s="6">
        <v>22</v>
      </c>
      <c r="B21" s="16" t="s">
        <v>400</v>
      </c>
      <c r="C21" s="8" t="s">
        <v>403</v>
      </c>
      <c r="D21" s="6"/>
      <c r="E21" s="11" t="s">
        <v>405</v>
      </c>
      <c r="F21" s="9">
        <v>1</v>
      </c>
      <c r="G21" s="9">
        <v>1</v>
      </c>
      <c r="H21" s="9">
        <v>3</v>
      </c>
      <c r="I21" s="9">
        <v>0</v>
      </c>
      <c r="J21" s="9">
        <v>0</v>
      </c>
      <c r="K21" s="9">
        <v>0</v>
      </c>
      <c r="L21" s="9">
        <v>0</v>
      </c>
      <c r="M21" s="9">
        <v>0</v>
      </c>
      <c r="N21" s="9">
        <v>0</v>
      </c>
      <c r="O21" s="9">
        <v>0</v>
      </c>
      <c r="P21" s="9">
        <v>0</v>
      </c>
      <c r="Q21" s="9">
        <v>0</v>
      </c>
      <c r="R21" s="9">
        <v>1</v>
      </c>
      <c r="S21" s="9">
        <v>0</v>
      </c>
      <c r="T21" s="9">
        <v>0</v>
      </c>
      <c r="U21" s="9">
        <v>0</v>
      </c>
      <c r="V21" s="9">
        <v>1</v>
      </c>
      <c r="W21" s="9">
        <v>1</v>
      </c>
    </row>
    <row r="22" spans="1:23" ht="15.75" customHeight="1">
      <c r="A22" s="6">
        <v>21</v>
      </c>
      <c r="B22" s="16" t="s">
        <v>409</v>
      </c>
      <c r="C22" s="8" t="s">
        <v>412</v>
      </c>
      <c r="D22" s="6"/>
      <c r="E22" s="34" t="s">
        <v>414</v>
      </c>
      <c r="F22" s="28"/>
      <c r="G22" s="28"/>
      <c r="H22" s="28"/>
      <c r="I22" s="28"/>
      <c r="J22" s="28"/>
      <c r="K22" s="28"/>
      <c r="L22" s="28"/>
      <c r="M22" s="28"/>
      <c r="N22" s="28"/>
      <c r="O22" s="28"/>
      <c r="P22" s="28"/>
      <c r="Q22" s="28"/>
      <c r="R22" s="28"/>
      <c r="S22" s="28"/>
      <c r="T22" s="28"/>
      <c r="U22" s="28"/>
      <c r="V22" s="28"/>
    </row>
    <row r="23" spans="1:23" ht="15.75" customHeight="1">
      <c r="A23" s="6">
        <v>20</v>
      </c>
      <c r="B23" s="16" t="s">
        <v>418</v>
      </c>
      <c r="C23" s="8" t="s">
        <v>421</v>
      </c>
      <c r="D23" s="6"/>
      <c r="E23" s="37" t="s">
        <v>422</v>
      </c>
      <c r="F23" s="28"/>
      <c r="G23" s="28"/>
      <c r="H23" s="28"/>
      <c r="I23" s="28"/>
      <c r="J23" s="28"/>
      <c r="K23" s="28"/>
      <c r="L23" s="28"/>
      <c r="M23" s="28"/>
      <c r="N23" s="28"/>
      <c r="O23" s="28"/>
      <c r="P23" s="28"/>
      <c r="Q23" s="28"/>
      <c r="R23" s="28"/>
      <c r="S23" s="28"/>
      <c r="T23" s="28"/>
      <c r="U23" s="28"/>
      <c r="V23" s="28"/>
    </row>
    <row r="24" spans="1:23" ht="15.75" customHeight="1">
      <c r="A24" s="6">
        <v>19</v>
      </c>
      <c r="B24" s="16" t="s">
        <v>427</v>
      </c>
      <c r="C24" s="8" t="s">
        <v>430</v>
      </c>
      <c r="D24" s="6"/>
      <c r="E24" s="34" t="s">
        <v>431</v>
      </c>
      <c r="F24" s="28"/>
      <c r="G24" s="28"/>
      <c r="H24" s="28"/>
      <c r="I24" s="28"/>
      <c r="J24" s="28"/>
      <c r="K24" s="28"/>
      <c r="L24" s="28"/>
      <c r="M24" s="28"/>
      <c r="N24" s="28"/>
      <c r="O24" s="28"/>
      <c r="P24" s="28"/>
      <c r="Q24" s="28"/>
      <c r="R24" s="28"/>
      <c r="S24" s="28"/>
      <c r="T24" s="28"/>
      <c r="U24" s="28"/>
      <c r="V24" s="28"/>
    </row>
    <row r="25" spans="1:23" ht="15.75" customHeight="1">
      <c r="A25" s="6">
        <v>18</v>
      </c>
      <c r="B25" s="16" t="s">
        <v>434</v>
      </c>
      <c r="C25" s="8" t="s">
        <v>438</v>
      </c>
      <c r="D25" s="6"/>
      <c r="E25" s="34" t="s">
        <v>440</v>
      </c>
      <c r="F25" s="28"/>
      <c r="G25" s="28"/>
      <c r="H25" s="28"/>
      <c r="I25" s="28"/>
      <c r="J25" s="28"/>
      <c r="K25" s="28"/>
      <c r="L25" s="28"/>
      <c r="M25" s="28"/>
      <c r="N25" s="28"/>
      <c r="O25" s="28"/>
      <c r="P25" s="28"/>
      <c r="Q25" s="28"/>
      <c r="R25" s="28"/>
      <c r="S25" s="28"/>
      <c r="T25" s="28"/>
      <c r="U25" s="28"/>
      <c r="V25" s="28"/>
    </row>
    <row r="26" spans="1:23" ht="15.75" customHeight="1">
      <c r="A26" s="6">
        <v>17</v>
      </c>
      <c r="B26" s="16" t="s">
        <v>441</v>
      </c>
      <c r="C26" s="8" t="s">
        <v>445</v>
      </c>
      <c r="D26" s="6"/>
      <c r="E26" s="17" t="s">
        <v>448</v>
      </c>
      <c r="F26" s="9">
        <v>0</v>
      </c>
      <c r="G26" s="9">
        <v>1</v>
      </c>
      <c r="H26" s="9">
        <v>1</v>
      </c>
      <c r="I26" s="9">
        <v>0</v>
      </c>
      <c r="J26" s="9">
        <v>0</v>
      </c>
      <c r="K26" s="9">
        <v>0</v>
      </c>
      <c r="L26" s="9">
        <v>0</v>
      </c>
      <c r="M26" s="9">
        <v>0</v>
      </c>
      <c r="N26" s="9">
        <v>0</v>
      </c>
      <c r="O26" s="9">
        <v>0</v>
      </c>
      <c r="P26" s="9">
        <v>0</v>
      </c>
      <c r="Q26" s="9">
        <v>0</v>
      </c>
      <c r="R26" s="9">
        <v>1</v>
      </c>
      <c r="S26" s="9">
        <v>0</v>
      </c>
      <c r="T26" s="9">
        <v>0</v>
      </c>
      <c r="U26" s="9">
        <v>0</v>
      </c>
      <c r="V26" s="9">
        <v>1</v>
      </c>
      <c r="W26" s="9">
        <v>0</v>
      </c>
    </row>
    <row r="27" spans="1:23" ht="15.75" customHeight="1">
      <c r="A27" s="6">
        <v>16</v>
      </c>
      <c r="B27" s="16" t="s">
        <v>451</v>
      </c>
      <c r="C27" s="8" t="s">
        <v>456</v>
      </c>
      <c r="D27" s="6"/>
      <c r="E27" s="37" t="s">
        <v>457</v>
      </c>
      <c r="F27" s="28"/>
      <c r="G27" s="28"/>
      <c r="H27" s="28"/>
      <c r="I27" s="28"/>
      <c r="J27" s="28"/>
      <c r="K27" s="28"/>
      <c r="L27" s="28"/>
      <c r="M27" s="28"/>
      <c r="N27" s="28"/>
      <c r="O27" s="28"/>
      <c r="P27" s="28"/>
      <c r="Q27" s="28"/>
      <c r="R27" s="28"/>
      <c r="S27" s="28"/>
      <c r="T27" s="28"/>
      <c r="U27" s="28"/>
      <c r="V27" s="28"/>
    </row>
    <row r="28" spans="1:23" ht="15.75" customHeight="1">
      <c r="A28" s="6">
        <v>15</v>
      </c>
      <c r="B28" s="16" t="s">
        <v>461</v>
      </c>
      <c r="C28" s="8" t="s">
        <v>466</v>
      </c>
      <c r="D28" s="6"/>
      <c r="E28" s="37" t="s">
        <v>468</v>
      </c>
      <c r="F28" s="28"/>
      <c r="G28" s="28"/>
      <c r="H28" s="28"/>
      <c r="I28" s="28"/>
      <c r="J28" s="28"/>
      <c r="K28" s="28"/>
      <c r="L28" s="28"/>
      <c r="M28" s="28"/>
      <c r="N28" s="28"/>
      <c r="O28" s="28"/>
      <c r="P28" s="28"/>
      <c r="Q28" s="28"/>
      <c r="R28" s="28"/>
      <c r="S28" s="28"/>
      <c r="T28" s="28"/>
      <c r="U28" s="28"/>
      <c r="V28" s="28"/>
    </row>
    <row r="29" spans="1:23" ht="15.75" customHeight="1">
      <c r="A29" s="6">
        <v>14</v>
      </c>
      <c r="B29" s="16" t="s">
        <v>470</v>
      </c>
      <c r="C29" s="8" t="s">
        <v>474</v>
      </c>
      <c r="D29" s="6"/>
      <c r="E29" s="34" t="s">
        <v>476</v>
      </c>
      <c r="F29" s="28"/>
      <c r="G29" s="28"/>
      <c r="H29" s="28"/>
      <c r="I29" s="28"/>
      <c r="J29" s="28"/>
      <c r="K29" s="28"/>
      <c r="L29" s="28"/>
      <c r="M29" s="28"/>
      <c r="N29" s="28"/>
      <c r="O29" s="28"/>
      <c r="P29" s="28"/>
      <c r="Q29" s="28"/>
      <c r="R29" s="28"/>
      <c r="S29" s="28"/>
      <c r="T29" s="28"/>
      <c r="U29" s="28"/>
      <c r="V29" s="28"/>
    </row>
    <row r="30" spans="1:23" ht="15.75" customHeight="1">
      <c r="A30" s="6">
        <v>13</v>
      </c>
      <c r="B30" s="16" t="s">
        <v>479</v>
      </c>
      <c r="C30" s="8" t="s">
        <v>483</v>
      </c>
      <c r="D30" s="6"/>
      <c r="E30" s="34" t="s">
        <v>484</v>
      </c>
      <c r="F30" s="28"/>
      <c r="G30" s="28"/>
      <c r="H30" s="28"/>
      <c r="I30" s="28"/>
      <c r="J30" s="28"/>
      <c r="K30" s="28"/>
      <c r="L30" s="28"/>
      <c r="M30" s="28"/>
      <c r="N30" s="28"/>
      <c r="O30" s="28"/>
      <c r="P30" s="28"/>
      <c r="Q30" s="28"/>
      <c r="R30" s="28"/>
      <c r="S30" s="28"/>
      <c r="T30" s="28"/>
      <c r="U30" s="28"/>
      <c r="V30" s="28"/>
    </row>
    <row r="31" spans="1:23" ht="15.75" customHeight="1">
      <c r="A31" s="6">
        <v>12</v>
      </c>
      <c r="B31" s="16" t="s">
        <v>488</v>
      </c>
      <c r="C31" s="8" t="s">
        <v>492</v>
      </c>
      <c r="D31" s="6"/>
      <c r="E31" s="34" t="s">
        <v>493</v>
      </c>
      <c r="F31" s="28"/>
      <c r="G31" s="28"/>
      <c r="H31" s="28"/>
      <c r="I31" s="28"/>
      <c r="J31" s="28"/>
      <c r="K31" s="28"/>
      <c r="L31" s="28"/>
      <c r="M31" s="28"/>
      <c r="N31" s="28"/>
      <c r="O31" s="28"/>
      <c r="P31" s="28"/>
      <c r="Q31" s="28"/>
      <c r="R31" s="28"/>
      <c r="S31" s="28"/>
      <c r="T31" s="28"/>
      <c r="U31" s="28"/>
      <c r="V31" s="28"/>
    </row>
    <row r="32" spans="1:23" ht="15.75" customHeight="1">
      <c r="A32" s="6">
        <v>11</v>
      </c>
      <c r="B32" s="16" t="s">
        <v>497</v>
      </c>
      <c r="C32" s="8" t="s">
        <v>499</v>
      </c>
      <c r="D32" s="6"/>
      <c r="E32" s="34" t="s">
        <v>501</v>
      </c>
      <c r="F32" s="28"/>
      <c r="G32" s="28"/>
      <c r="H32" s="28"/>
      <c r="I32" s="28"/>
      <c r="J32" s="28"/>
      <c r="K32" s="28"/>
      <c r="L32" s="28"/>
      <c r="M32" s="28"/>
      <c r="N32" s="28"/>
      <c r="O32" s="28"/>
      <c r="P32" s="28"/>
      <c r="Q32" s="28"/>
      <c r="R32" s="28"/>
      <c r="S32" s="28"/>
      <c r="T32" s="28"/>
      <c r="U32" s="28"/>
      <c r="V32" s="28"/>
    </row>
    <row r="33" spans="1:23" ht="15.75" customHeight="1">
      <c r="A33" s="6">
        <v>10</v>
      </c>
      <c r="B33" s="16" t="s">
        <v>503</v>
      </c>
      <c r="C33" s="8" t="s">
        <v>508</v>
      </c>
      <c r="D33" s="6"/>
      <c r="E33" s="34" t="s">
        <v>509</v>
      </c>
      <c r="F33" s="28"/>
      <c r="G33" s="28"/>
      <c r="H33" s="28"/>
      <c r="I33" s="28"/>
      <c r="J33" s="28"/>
      <c r="K33" s="28"/>
      <c r="L33" s="28"/>
      <c r="M33" s="28"/>
      <c r="N33" s="28"/>
      <c r="O33" s="28"/>
      <c r="P33" s="28"/>
      <c r="Q33" s="28"/>
      <c r="R33" s="28"/>
      <c r="S33" s="28"/>
      <c r="T33" s="28"/>
      <c r="U33" s="28"/>
      <c r="V33" s="28"/>
    </row>
    <row r="34" spans="1:23" ht="15.75" customHeight="1">
      <c r="A34" s="6">
        <v>9</v>
      </c>
      <c r="B34" s="16" t="s">
        <v>512</v>
      </c>
      <c r="C34" s="8" t="s">
        <v>515</v>
      </c>
      <c r="D34" s="6"/>
      <c r="E34" s="11" t="s">
        <v>517</v>
      </c>
      <c r="F34" s="9">
        <v>1</v>
      </c>
      <c r="G34" s="9">
        <v>0</v>
      </c>
      <c r="H34" s="9">
        <v>0</v>
      </c>
      <c r="I34" s="9">
        <v>0</v>
      </c>
      <c r="J34" s="9">
        <v>0</v>
      </c>
      <c r="K34" s="9">
        <v>0</v>
      </c>
      <c r="L34" s="9">
        <v>1</v>
      </c>
      <c r="M34" s="9">
        <v>0</v>
      </c>
      <c r="N34" s="9">
        <v>0</v>
      </c>
      <c r="O34" s="9">
        <v>0</v>
      </c>
      <c r="P34" s="9">
        <v>0</v>
      </c>
      <c r="Q34" s="9">
        <v>0</v>
      </c>
      <c r="R34" s="9">
        <v>0</v>
      </c>
      <c r="S34" s="9">
        <v>0</v>
      </c>
      <c r="T34" s="9">
        <v>0</v>
      </c>
      <c r="U34" s="9">
        <v>0</v>
      </c>
      <c r="V34" s="9">
        <v>0</v>
      </c>
      <c r="W34" s="9">
        <v>0</v>
      </c>
    </row>
    <row r="35" spans="1:23" ht="15.75" customHeight="1">
      <c r="A35" s="6">
        <v>8</v>
      </c>
      <c r="B35" s="16" t="s">
        <v>520</v>
      </c>
      <c r="C35" s="8" t="s">
        <v>525</v>
      </c>
      <c r="D35" s="6"/>
      <c r="E35" s="36" t="s">
        <v>526</v>
      </c>
      <c r="F35" s="9">
        <v>1</v>
      </c>
      <c r="G35" s="9">
        <v>0</v>
      </c>
      <c r="H35" s="9">
        <v>0</v>
      </c>
      <c r="I35" s="9">
        <v>0</v>
      </c>
      <c r="J35" s="9">
        <v>0</v>
      </c>
      <c r="K35" s="9">
        <v>0</v>
      </c>
      <c r="L35" s="9">
        <v>1</v>
      </c>
      <c r="M35" s="9">
        <v>0</v>
      </c>
      <c r="N35" s="9">
        <v>0</v>
      </c>
      <c r="O35" s="9">
        <v>0</v>
      </c>
      <c r="P35" s="9">
        <v>0</v>
      </c>
      <c r="Q35" s="9">
        <v>0</v>
      </c>
      <c r="R35" s="9">
        <v>0</v>
      </c>
      <c r="S35" s="9">
        <v>0</v>
      </c>
      <c r="T35" s="9">
        <v>0</v>
      </c>
      <c r="U35" s="9">
        <v>0</v>
      </c>
      <c r="V35" s="9">
        <v>0</v>
      </c>
      <c r="W35" s="9">
        <v>0</v>
      </c>
    </row>
    <row r="36" spans="1:23" ht="15.75" customHeight="1">
      <c r="A36" s="6">
        <v>7</v>
      </c>
      <c r="B36" s="16" t="s">
        <v>533</v>
      </c>
      <c r="C36" s="8" t="s">
        <v>538</v>
      </c>
      <c r="D36" s="6"/>
      <c r="E36" s="36" t="s">
        <v>540</v>
      </c>
      <c r="F36" s="9">
        <v>1</v>
      </c>
      <c r="G36" s="9">
        <v>0</v>
      </c>
      <c r="H36" s="9">
        <v>0</v>
      </c>
      <c r="I36" s="9">
        <v>0</v>
      </c>
      <c r="J36" s="9">
        <v>0</v>
      </c>
      <c r="K36" s="9">
        <v>0</v>
      </c>
      <c r="L36" s="9">
        <v>1</v>
      </c>
      <c r="M36" s="9">
        <v>0</v>
      </c>
      <c r="N36" s="9">
        <v>0</v>
      </c>
      <c r="O36" s="9">
        <v>0</v>
      </c>
      <c r="P36" s="9">
        <v>0</v>
      </c>
      <c r="Q36" s="9">
        <v>0</v>
      </c>
      <c r="R36" s="9">
        <v>0</v>
      </c>
      <c r="S36" s="9">
        <v>0</v>
      </c>
      <c r="T36" s="9">
        <v>0</v>
      </c>
      <c r="U36" s="9">
        <v>0</v>
      </c>
      <c r="V36" s="9">
        <v>0</v>
      </c>
      <c r="W36" s="9">
        <v>0</v>
      </c>
    </row>
    <row r="37" spans="1:23" ht="15.75" customHeight="1">
      <c r="A37" s="6">
        <v>6</v>
      </c>
      <c r="B37" s="16" t="s">
        <v>542</v>
      </c>
      <c r="C37" s="8" t="s">
        <v>549</v>
      </c>
      <c r="D37" s="6"/>
      <c r="E37" s="36" t="s">
        <v>550</v>
      </c>
      <c r="F37" s="9">
        <v>1</v>
      </c>
      <c r="G37" s="9">
        <v>0</v>
      </c>
      <c r="H37" s="9">
        <v>0</v>
      </c>
      <c r="I37" s="9">
        <v>0</v>
      </c>
      <c r="J37" s="9">
        <v>0</v>
      </c>
      <c r="K37" s="9">
        <v>0</v>
      </c>
      <c r="L37" s="9">
        <v>1</v>
      </c>
      <c r="M37" s="9">
        <v>0</v>
      </c>
      <c r="N37" s="9">
        <v>0</v>
      </c>
      <c r="O37" s="9">
        <v>0</v>
      </c>
      <c r="P37" s="9">
        <v>0</v>
      </c>
      <c r="Q37" s="9">
        <v>0</v>
      </c>
      <c r="R37" s="9">
        <v>0</v>
      </c>
      <c r="S37" s="9">
        <v>0</v>
      </c>
      <c r="T37" s="9">
        <v>0</v>
      </c>
      <c r="U37" s="9">
        <v>0</v>
      </c>
      <c r="V37" s="9">
        <v>0</v>
      </c>
      <c r="W37" s="9">
        <v>0</v>
      </c>
    </row>
    <row r="38" spans="1:23" ht="15.75" customHeight="1">
      <c r="A38" s="6">
        <v>5</v>
      </c>
      <c r="B38" s="16" t="s">
        <v>542</v>
      </c>
      <c r="C38" s="8" t="s">
        <v>558</v>
      </c>
      <c r="D38" s="6"/>
      <c r="E38" s="36" t="s">
        <v>560</v>
      </c>
      <c r="F38" s="9">
        <v>1</v>
      </c>
      <c r="G38" s="9">
        <v>0</v>
      </c>
      <c r="H38" s="9">
        <v>0</v>
      </c>
      <c r="I38" s="9">
        <v>0</v>
      </c>
      <c r="J38" s="9">
        <v>0</v>
      </c>
      <c r="K38" s="9">
        <v>0</v>
      </c>
      <c r="L38" s="9">
        <v>1</v>
      </c>
      <c r="M38" s="9">
        <v>0</v>
      </c>
      <c r="N38" s="9">
        <v>0</v>
      </c>
      <c r="O38" s="9">
        <v>0</v>
      </c>
      <c r="P38" s="9">
        <v>0</v>
      </c>
      <c r="Q38" s="9">
        <v>0</v>
      </c>
      <c r="R38" s="9">
        <v>0</v>
      </c>
      <c r="S38" s="9">
        <v>0</v>
      </c>
      <c r="T38" s="9">
        <v>0</v>
      </c>
      <c r="U38" s="9">
        <v>0</v>
      </c>
      <c r="V38" s="9">
        <v>0</v>
      </c>
      <c r="W38" s="9">
        <v>0</v>
      </c>
    </row>
    <row r="39" spans="1:23" ht="15.75" customHeight="1">
      <c r="A39" s="6">
        <v>4</v>
      </c>
      <c r="B39" s="16" t="s">
        <v>564</v>
      </c>
      <c r="C39" s="8" t="s">
        <v>570</v>
      </c>
      <c r="D39" s="6"/>
      <c r="E39" s="36" t="s">
        <v>572</v>
      </c>
      <c r="F39" s="9">
        <v>1</v>
      </c>
      <c r="G39" s="9">
        <v>0</v>
      </c>
      <c r="H39" s="9">
        <v>0</v>
      </c>
      <c r="I39" s="9">
        <v>0</v>
      </c>
      <c r="J39" s="9">
        <v>0</v>
      </c>
      <c r="K39" s="9">
        <v>0</v>
      </c>
      <c r="L39" s="9">
        <v>1</v>
      </c>
      <c r="M39" s="9">
        <v>0</v>
      </c>
      <c r="N39" s="9">
        <v>0</v>
      </c>
      <c r="O39" s="9">
        <v>0</v>
      </c>
      <c r="P39" s="9">
        <v>0</v>
      </c>
      <c r="Q39" s="9">
        <v>0</v>
      </c>
      <c r="R39" s="9">
        <v>0</v>
      </c>
      <c r="S39" s="9">
        <v>0</v>
      </c>
      <c r="T39" s="9">
        <v>0</v>
      </c>
      <c r="U39" s="9">
        <v>0</v>
      </c>
      <c r="V39" s="9">
        <v>0</v>
      </c>
      <c r="W39" s="9">
        <v>0</v>
      </c>
    </row>
    <row r="40" spans="1:23" ht="15.75" customHeight="1">
      <c r="A40" s="6">
        <v>3</v>
      </c>
      <c r="B40" s="23" t="s">
        <v>579</v>
      </c>
      <c r="C40" s="8" t="s">
        <v>584</v>
      </c>
      <c r="D40" s="6"/>
      <c r="E40" s="36" t="s">
        <v>572</v>
      </c>
      <c r="F40" s="9">
        <v>1</v>
      </c>
      <c r="G40" s="9">
        <v>0</v>
      </c>
      <c r="H40" s="9">
        <v>0</v>
      </c>
      <c r="I40" s="9">
        <v>0</v>
      </c>
      <c r="J40" s="9">
        <v>0</v>
      </c>
      <c r="K40" s="9">
        <v>0</v>
      </c>
      <c r="L40" s="9">
        <v>1</v>
      </c>
      <c r="M40" s="9">
        <v>0</v>
      </c>
      <c r="N40" s="9">
        <v>0</v>
      </c>
      <c r="O40" s="9">
        <v>0</v>
      </c>
      <c r="P40" s="9">
        <v>0</v>
      </c>
      <c r="Q40" s="9">
        <v>0</v>
      </c>
      <c r="R40" s="9">
        <v>0</v>
      </c>
      <c r="S40" s="9">
        <v>0</v>
      </c>
      <c r="T40" s="9">
        <v>0</v>
      </c>
      <c r="U40" s="9">
        <v>0</v>
      </c>
      <c r="V40" s="9">
        <v>0</v>
      </c>
      <c r="W40" s="9">
        <v>0</v>
      </c>
    </row>
    <row r="41" spans="1:23" ht="15.75" customHeight="1">
      <c r="A41" s="6">
        <v>2</v>
      </c>
      <c r="B41" s="16" t="s">
        <v>589</v>
      </c>
      <c r="C41" s="8" t="s">
        <v>593</v>
      </c>
      <c r="D41" s="6"/>
      <c r="E41" s="36" t="s">
        <v>595</v>
      </c>
      <c r="F41" s="9">
        <v>1</v>
      </c>
      <c r="G41" s="9">
        <v>0</v>
      </c>
      <c r="H41" s="9">
        <v>0</v>
      </c>
      <c r="I41" s="9">
        <v>0</v>
      </c>
      <c r="J41" s="9">
        <v>0</v>
      </c>
      <c r="K41" s="9">
        <v>0</v>
      </c>
      <c r="L41" s="9">
        <v>1</v>
      </c>
      <c r="M41" s="9"/>
      <c r="N41" s="9">
        <v>0</v>
      </c>
      <c r="O41" s="9">
        <v>0</v>
      </c>
      <c r="P41" s="9">
        <v>0</v>
      </c>
      <c r="Q41" s="9">
        <v>0</v>
      </c>
      <c r="R41" s="9">
        <v>0</v>
      </c>
      <c r="S41" s="9">
        <v>0</v>
      </c>
      <c r="T41" s="9">
        <v>0</v>
      </c>
      <c r="U41" s="9">
        <v>0</v>
      </c>
      <c r="V41" s="9">
        <v>0</v>
      </c>
      <c r="W41" s="9">
        <v>0</v>
      </c>
    </row>
    <row r="42" spans="1:23" ht="15.75" customHeight="1">
      <c r="A42" s="6">
        <v>1</v>
      </c>
      <c r="B42" s="16" t="s">
        <v>598</v>
      </c>
      <c r="C42" s="8" t="s">
        <v>602</v>
      </c>
      <c r="D42" s="6"/>
      <c r="E42" s="17" t="s">
        <v>604</v>
      </c>
      <c r="F42" s="9">
        <v>4</v>
      </c>
      <c r="G42" s="9">
        <v>1</v>
      </c>
      <c r="H42" s="9">
        <v>0</v>
      </c>
      <c r="I42" s="9">
        <v>0</v>
      </c>
      <c r="J42" s="9">
        <v>0</v>
      </c>
      <c r="K42" s="9">
        <v>0</v>
      </c>
      <c r="L42" s="9">
        <v>1</v>
      </c>
      <c r="M42" s="9">
        <v>0</v>
      </c>
      <c r="N42" s="9">
        <v>0</v>
      </c>
      <c r="O42" s="9">
        <v>0</v>
      </c>
      <c r="P42" s="9">
        <v>0</v>
      </c>
      <c r="Q42" s="9">
        <v>0</v>
      </c>
      <c r="R42" s="9">
        <v>0</v>
      </c>
      <c r="S42" s="9">
        <v>0</v>
      </c>
      <c r="T42" s="9">
        <v>0</v>
      </c>
      <c r="U42" s="9">
        <v>0</v>
      </c>
      <c r="V42" s="9">
        <v>0</v>
      </c>
      <c r="W42" s="9">
        <v>0</v>
      </c>
    </row>
    <row r="43" spans="1:23" ht="15.75" customHeight="1">
      <c r="E43" s="11"/>
    </row>
    <row r="44" spans="1:23" ht="15.75" customHeight="1"/>
    <row r="45" spans="1:23" ht="15.75" customHeight="1"/>
    <row r="46" spans="1:23" ht="15.75" customHeight="1"/>
    <row r="47" spans="1:23" ht="15.75" customHeight="1"/>
    <row r="48" spans="1:23"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ef="B7" r:id="rId1" xr:uid="{00000000-0004-0000-0400-000000000000}"/>
    <hyperlink ref="B8" r:id="rId2" xr:uid="{00000000-0004-0000-0400-000001000000}"/>
    <hyperlink ref="B9" r:id="rId3" xr:uid="{00000000-0004-0000-0400-000002000000}"/>
    <hyperlink ref="B10" r:id="rId4" xr:uid="{00000000-0004-0000-0400-000003000000}"/>
    <hyperlink ref="B11" r:id="rId5" xr:uid="{00000000-0004-0000-0400-000004000000}"/>
    <hyperlink ref="B12" r:id="rId6" xr:uid="{00000000-0004-0000-0400-000005000000}"/>
    <hyperlink ref="B13" r:id="rId7" xr:uid="{00000000-0004-0000-0400-000006000000}"/>
    <hyperlink ref="B14" r:id="rId8" xr:uid="{00000000-0004-0000-0400-000007000000}"/>
    <hyperlink ref="B15" r:id="rId9" xr:uid="{00000000-0004-0000-0400-000008000000}"/>
    <hyperlink ref="B16" r:id="rId10" xr:uid="{00000000-0004-0000-0400-000009000000}"/>
    <hyperlink ref="B17" r:id="rId11" xr:uid="{00000000-0004-0000-0400-00000A000000}"/>
    <hyperlink ref="B18" r:id="rId12" xr:uid="{00000000-0004-0000-0400-00000B000000}"/>
    <hyperlink ref="B19" r:id="rId13" xr:uid="{00000000-0004-0000-0400-00000C000000}"/>
    <hyperlink ref="B20" r:id="rId14" xr:uid="{00000000-0004-0000-0400-00000D000000}"/>
    <hyperlink ref="B21" r:id="rId15" xr:uid="{00000000-0004-0000-0400-00000E000000}"/>
    <hyperlink ref="B22" r:id="rId16" xr:uid="{00000000-0004-0000-0400-00000F000000}"/>
    <hyperlink ref="B23" r:id="rId17" xr:uid="{00000000-0004-0000-0400-000010000000}"/>
    <hyperlink ref="B24" r:id="rId18" xr:uid="{00000000-0004-0000-0400-000011000000}"/>
    <hyperlink ref="B25" r:id="rId19" xr:uid="{00000000-0004-0000-0400-000012000000}"/>
    <hyperlink ref="B26" r:id="rId20" xr:uid="{00000000-0004-0000-0400-000013000000}"/>
    <hyperlink ref="B27" r:id="rId21" xr:uid="{00000000-0004-0000-0400-000014000000}"/>
    <hyperlink ref="B28" r:id="rId22" xr:uid="{00000000-0004-0000-0400-000015000000}"/>
    <hyperlink ref="B29" r:id="rId23" xr:uid="{00000000-0004-0000-0400-000016000000}"/>
    <hyperlink ref="B30" r:id="rId24" xr:uid="{00000000-0004-0000-0400-000017000000}"/>
    <hyperlink ref="B31" r:id="rId25" xr:uid="{00000000-0004-0000-0400-000018000000}"/>
    <hyperlink ref="B32" r:id="rId26" xr:uid="{00000000-0004-0000-0400-000019000000}"/>
    <hyperlink ref="B33" r:id="rId27" xr:uid="{00000000-0004-0000-0400-00001A000000}"/>
    <hyperlink ref="B34" r:id="rId28" xr:uid="{00000000-0004-0000-0400-00001B000000}"/>
    <hyperlink ref="B35" r:id="rId29" xr:uid="{00000000-0004-0000-0400-00001C000000}"/>
    <hyperlink ref="B36" r:id="rId30" xr:uid="{00000000-0004-0000-0400-00001D000000}"/>
    <hyperlink ref="B37" r:id="rId31" xr:uid="{00000000-0004-0000-0400-00001E000000}"/>
    <hyperlink ref="B38" r:id="rId32" xr:uid="{00000000-0004-0000-0400-00001F000000}"/>
    <hyperlink ref="B39" r:id="rId33" xr:uid="{00000000-0004-0000-0400-000020000000}"/>
    <hyperlink ref="B40" r:id="rId34" xr:uid="{00000000-0004-0000-0400-000021000000}"/>
    <hyperlink ref="B41" r:id="rId35" xr:uid="{00000000-0004-0000-0400-000022000000}"/>
    <hyperlink ref="B42" r:id="rId36" xr:uid="{00000000-0004-0000-0400-000023000000}"/>
  </hyperlinks>
  <pageMargins left="0.511811024" right="0.511811024" top="0.78740157499999996" bottom="0.78740157499999996" header="0" footer="0"/>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K1348"/>
  <sheetViews>
    <sheetView tabSelected="1" workbookViewId="0">
      <selection activeCell="K28" sqref="K28"/>
    </sheetView>
  </sheetViews>
  <sheetFormatPr defaultColWidth="14.42578125" defaultRowHeight="15" customHeight="1"/>
  <cols>
    <col min="1" max="1" width="14.42578125" customWidth="1"/>
    <col min="2" max="2" width="32.28515625" customWidth="1"/>
    <col min="3" max="3" width="53.7109375" customWidth="1"/>
    <col min="4" max="4" width="9.85546875" customWidth="1"/>
    <col min="5" max="5" width="66" customWidth="1"/>
    <col min="6" max="6" width="15.85546875" customWidth="1"/>
    <col min="7" max="7" width="15.7109375" customWidth="1"/>
    <col min="8" max="8" width="18.7109375" customWidth="1"/>
    <col min="9" max="9" width="22.28515625" customWidth="1"/>
    <col min="10" max="10" width="13.28515625" customWidth="1"/>
    <col min="11" max="26" width="8.7109375" customWidth="1"/>
  </cols>
  <sheetData>
    <row r="2" spans="1:8">
      <c r="A2" s="2" t="s">
        <v>3</v>
      </c>
      <c r="B2" s="4">
        <v>46269</v>
      </c>
    </row>
    <row r="4" spans="1:8">
      <c r="B4" s="5" t="s">
        <v>5</v>
      </c>
      <c r="C4" s="5" t="s">
        <v>6</v>
      </c>
      <c r="D4" s="5" t="s">
        <v>7</v>
      </c>
      <c r="E4" s="5" t="s">
        <v>276</v>
      </c>
      <c r="F4" s="5" t="s">
        <v>278</v>
      </c>
      <c r="G4" s="5" t="s">
        <v>280</v>
      </c>
      <c r="H4" s="5" t="s">
        <v>282</v>
      </c>
    </row>
    <row r="5" spans="1:8">
      <c r="B5" s="5"/>
      <c r="C5" s="5"/>
      <c r="D5" s="5"/>
      <c r="E5" s="5"/>
      <c r="F5" s="5"/>
      <c r="G5" s="5"/>
      <c r="H5" s="5"/>
    </row>
    <row r="6" spans="1:8">
      <c r="A6" s="6">
        <v>37</v>
      </c>
      <c r="B6" s="5"/>
      <c r="C6" s="5"/>
      <c r="D6" s="5"/>
      <c r="E6" s="5"/>
      <c r="F6" s="5"/>
      <c r="G6" s="5"/>
      <c r="H6" s="5"/>
    </row>
    <row r="7" spans="1:8" ht="45">
      <c r="A7" s="6">
        <v>36</v>
      </c>
      <c r="B7" s="16" t="s">
        <v>288</v>
      </c>
      <c r="C7" s="8" t="s">
        <v>294</v>
      </c>
      <c r="D7" s="29">
        <v>720</v>
      </c>
      <c r="E7" s="30" t="s">
        <v>298</v>
      </c>
      <c r="F7" s="31">
        <v>7200764.3700000001</v>
      </c>
      <c r="G7" s="31">
        <v>9498390</v>
      </c>
      <c r="H7" s="31">
        <f t="shared" ref="H7:H23" si="0">F7+G7</f>
        <v>16699154.370000001</v>
      </c>
    </row>
    <row r="8" spans="1:8">
      <c r="A8" s="6"/>
      <c r="B8" s="7"/>
      <c r="C8" s="8"/>
      <c r="D8" s="29">
        <v>722</v>
      </c>
      <c r="E8" s="30" t="s">
        <v>310</v>
      </c>
      <c r="F8" s="31">
        <v>2500000</v>
      </c>
      <c r="G8" s="32">
        <v>1197682</v>
      </c>
      <c r="H8" s="31">
        <f t="shared" si="0"/>
        <v>3697682</v>
      </c>
    </row>
    <row r="9" spans="1:8">
      <c r="A9" s="6"/>
      <c r="B9" s="7"/>
      <c r="C9" s="8"/>
      <c r="D9" s="29">
        <v>753</v>
      </c>
      <c r="E9" s="30" t="s">
        <v>316</v>
      </c>
      <c r="F9" s="32">
        <v>66641000</v>
      </c>
      <c r="G9" s="32">
        <v>48263200</v>
      </c>
      <c r="H9" s="31">
        <f t="shared" si="0"/>
        <v>114904200</v>
      </c>
    </row>
    <row r="10" spans="1:8">
      <c r="A10" s="6"/>
      <c r="B10" s="7"/>
      <c r="C10" s="8"/>
      <c r="D10" s="29">
        <v>202</v>
      </c>
      <c r="E10" s="30" t="s">
        <v>319</v>
      </c>
      <c r="F10" s="32">
        <v>1740810.85</v>
      </c>
      <c r="G10" s="32">
        <v>4915904</v>
      </c>
      <c r="H10" s="31">
        <f t="shared" si="0"/>
        <v>6656714.8499999996</v>
      </c>
    </row>
    <row r="11" spans="1:8">
      <c r="A11" s="6"/>
      <c r="B11" s="7"/>
      <c r="C11" s="8"/>
      <c r="D11" s="29">
        <v>206</v>
      </c>
      <c r="E11" s="30" t="s">
        <v>325</v>
      </c>
      <c r="F11" s="31">
        <v>7146517.1600000001</v>
      </c>
      <c r="G11" s="31">
        <v>5094618.3600000003</v>
      </c>
      <c r="H11" s="31">
        <f t="shared" si="0"/>
        <v>12241135.52</v>
      </c>
    </row>
    <row r="12" spans="1:8">
      <c r="A12" s="6"/>
      <c r="B12" s="7"/>
      <c r="C12" s="8"/>
      <c r="D12" s="29">
        <v>215</v>
      </c>
      <c r="E12" s="30" t="s">
        <v>329</v>
      </c>
      <c r="F12" s="32">
        <v>275000</v>
      </c>
      <c r="G12" s="32"/>
      <c r="H12" s="31">
        <f t="shared" si="0"/>
        <v>275000</v>
      </c>
    </row>
    <row r="13" spans="1:8">
      <c r="A13" s="6"/>
      <c r="B13" s="7"/>
      <c r="C13" s="8"/>
      <c r="D13" s="29">
        <v>301</v>
      </c>
      <c r="E13" s="30" t="s">
        <v>331</v>
      </c>
      <c r="F13" s="32">
        <v>3000000</v>
      </c>
      <c r="G13" s="31">
        <v>700000</v>
      </c>
      <c r="H13" s="31">
        <f t="shared" si="0"/>
        <v>3700000</v>
      </c>
    </row>
    <row r="14" spans="1:8">
      <c r="A14" s="6"/>
      <c r="B14" s="7"/>
      <c r="C14" s="8"/>
      <c r="D14" s="29">
        <v>307</v>
      </c>
      <c r="E14" s="30" t="s">
        <v>336</v>
      </c>
      <c r="F14" s="31">
        <v>1000</v>
      </c>
      <c r="G14" s="31">
        <v>1000</v>
      </c>
      <c r="H14" s="31">
        <f t="shared" si="0"/>
        <v>2000</v>
      </c>
    </row>
    <row r="15" spans="1:8">
      <c r="A15" s="6"/>
      <c r="B15" s="7"/>
      <c r="C15" s="8"/>
      <c r="D15" s="29">
        <v>401</v>
      </c>
      <c r="E15" s="30" t="s">
        <v>339</v>
      </c>
      <c r="F15" s="31">
        <v>15623850.630000001</v>
      </c>
      <c r="G15" s="32">
        <v>485000</v>
      </c>
      <c r="H15" s="31">
        <f t="shared" si="0"/>
        <v>16108850.630000001</v>
      </c>
    </row>
    <row r="16" spans="1:8">
      <c r="A16" s="6"/>
      <c r="B16" s="7"/>
      <c r="C16" s="8"/>
      <c r="D16" s="29">
        <v>402</v>
      </c>
      <c r="E16" s="30" t="s">
        <v>342</v>
      </c>
      <c r="F16" s="31">
        <v>24470522.82</v>
      </c>
      <c r="G16" s="32">
        <v>1950000</v>
      </c>
      <c r="H16" s="31">
        <f t="shared" si="0"/>
        <v>26420522.82</v>
      </c>
    </row>
    <row r="17" spans="1:8" ht="22.5">
      <c r="A17" s="6"/>
      <c r="B17" s="7"/>
      <c r="C17" s="8"/>
      <c r="D17" s="29">
        <v>512</v>
      </c>
      <c r="E17" s="30" t="s">
        <v>346</v>
      </c>
      <c r="F17" s="32">
        <v>1362816</v>
      </c>
      <c r="G17" s="32"/>
      <c r="H17" s="31">
        <f t="shared" si="0"/>
        <v>1362816</v>
      </c>
    </row>
    <row r="18" spans="1:8">
      <c r="A18" s="6"/>
      <c r="B18" s="7"/>
      <c r="C18" s="8"/>
      <c r="D18" s="29">
        <v>605</v>
      </c>
      <c r="E18" s="30" t="s">
        <v>351</v>
      </c>
      <c r="F18" s="32"/>
      <c r="G18" s="31">
        <v>5004200</v>
      </c>
      <c r="H18" s="31">
        <f t="shared" si="0"/>
        <v>5004200</v>
      </c>
    </row>
    <row r="19" spans="1:8">
      <c r="A19" s="6"/>
      <c r="B19" s="7"/>
      <c r="C19" s="8"/>
      <c r="D19" s="29">
        <v>610</v>
      </c>
      <c r="E19" s="30" t="s">
        <v>355</v>
      </c>
      <c r="F19" s="32"/>
      <c r="G19" s="31">
        <v>2001000</v>
      </c>
      <c r="H19" s="31">
        <f t="shared" si="0"/>
        <v>2001000</v>
      </c>
    </row>
    <row r="20" spans="1:8">
      <c r="A20" s="6"/>
      <c r="B20" s="7"/>
      <c r="C20" s="8"/>
      <c r="D20" s="29">
        <v>615</v>
      </c>
      <c r="E20" s="30" t="s">
        <v>359</v>
      </c>
      <c r="F20" s="32"/>
      <c r="G20" s="32">
        <v>6000000</v>
      </c>
      <c r="H20" s="31">
        <f t="shared" si="0"/>
        <v>6000000</v>
      </c>
    </row>
    <row r="21" spans="1:8">
      <c r="A21" s="6"/>
      <c r="B21" s="7"/>
      <c r="C21" s="8"/>
      <c r="D21" s="29">
        <v>622</v>
      </c>
      <c r="E21" s="30" t="s">
        <v>364</v>
      </c>
      <c r="F21" s="32"/>
      <c r="G21" s="32">
        <v>3000</v>
      </c>
      <c r="H21" s="31">
        <f t="shared" si="0"/>
        <v>3000</v>
      </c>
    </row>
    <row r="22" spans="1:8" ht="22.5">
      <c r="A22" s="6"/>
      <c r="B22" s="7"/>
      <c r="C22" s="8"/>
      <c r="D22" s="29">
        <v>629</v>
      </c>
      <c r="E22" s="30" t="s">
        <v>365</v>
      </c>
      <c r="F22" s="32"/>
      <c r="G22" s="32">
        <v>1000</v>
      </c>
      <c r="H22" s="31">
        <f t="shared" si="0"/>
        <v>1000</v>
      </c>
    </row>
    <row r="23" spans="1:8" ht="22.5">
      <c r="A23" s="6"/>
      <c r="B23" s="7"/>
      <c r="C23" s="8"/>
      <c r="D23" s="29">
        <v>643</v>
      </c>
      <c r="E23" s="30" t="s">
        <v>370</v>
      </c>
      <c r="F23" s="31"/>
      <c r="G23" s="32">
        <v>1000</v>
      </c>
      <c r="H23" s="31">
        <f t="shared" si="0"/>
        <v>1000</v>
      </c>
    </row>
    <row r="24" spans="1:8">
      <c r="A24" s="6"/>
      <c r="B24" s="7"/>
      <c r="C24" s="8"/>
      <c r="D24" s="29"/>
      <c r="E24" s="30"/>
      <c r="F24" s="31"/>
      <c r="G24" s="31"/>
      <c r="H24" s="31"/>
    </row>
    <row r="25" spans="1:8" ht="7.5" customHeight="1">
      <c r="A25" s="6"/>
      <c r="B25" s="7"/>
      <c r="C25" s="8"/>
      <c r="D25" s="29"/>
      <c r="E25" s="30"/>
      <c r="F25" s="31"/>
      <c r="G25" s="31"/>
      <c r="H25" s="31"/>
    </row>
    <row r="26" spans="1:8" ht="45">
      <c r="A26" s="6">
        <v>35</v>
      </c>
      <c r="B26" s="16" t="s">
        <v>379</v>
      </c>
      <c r="C26" s="8" t="s">
        <v>387</v>
      </c>
      <c r="D26" s="29">
        <v>720</v>
      </c>
      <c r="E26" s="30" t="s">
        <v>298</v>
      </c>
      <c r="F26" s="31">
        <v>6931762.21</v>
      </c>
      <c r="G26" s="31">
        <v>17587746</v>
      </c>
      <c r="H26" s="31">
        <f t="shared" ref="H26:H42" si="1">F26+G26</f>
        <v>24519508.210000001</v>
      </c>
    </row>
    <row r="27" spans="1:8">
      <c r="A27" s="6"/>
      <c r="B27" s="7"/>
      <c r="C27" s="8"/>
      <c r="D27" s="29">
        <v>722</v>
      </c>
      <c r="E27" s="30" t="s">
        <v>310</v>
      </c>
      <c r="F27" s="35">
        <v>3300000</v>
      </c>
      <c r="G27" s="35">
        <v>5966215</v>
      </c>
      <c r="H27" s="31">
        <f t="shared" si="1"/>
        <v>9266215</v>
      </c>
    </row>
    <row r="28" spans="1:8">
      <c r="A28" s="6"/>
      <c r="B28" s="7"/>
      <c r="C28" s="8"/>
      <c r="D28" s="29">
        <v>753</v>
      </c>
      <c r="E28" s="30" t="s">
        <v>316</v>
      </c>
      <c r="F28" s="35">
        <v>55058791.359999999</v>
      </c>
      <c r="G28" s="35">
        <v>57977374</v>
      </c>
      <c r="H28" s="31">
        <f t="shared" si="1"/>
        <v>113036165.36</v>
      </c>
    </row>
    <row r="29" spans="1:8">
      <c r="A29" s="6"/>
      <c r="B29" s="7"/>
      <c r="C29" s="8"/>
      <c r="D29" s="29">
        <v>202</v>
      </c>
      <c r="E29" s="30" t="s">
        <v>319</v>
      </c>
      <c r="F29" s="35">
        <v>2742758.69</v>
      </c>
      <c r="G29" s="35">
        <v>6463904</v>
      </c>
      <c r="H29" s="31">
        <f t="shared" si="1"/>
        <v>9206662.6899999995</v>
      </c>
    </row>
    <row r="30" spans="1:8">
      <c r="A30" s="6"/>
      <c r="B30" s="7"/>
      <c r="C30" s="8"/>
      <c r="D30" s="29">
        <v>206</v>
      </c>
      <c r="E30" s="30" t="s">
        <v>325</v>
      </c>
      <c r="F30" s="35">
        <v>7616517.1600000001</v>
      </c>
      <c r="G30" s="35">
        <v>6368580</v>
      </c>
      <c r="H30" s="31">
        <f t="shared" si="1"/>
        <v>13985097.16</v>
      </c>
    </row>
    <row r="31" spans="1:8">
      <c r="A31" s="6"/>
      <c r="B31" s="7"/>
      <c r="C31" s="8"/>
      <c r="D31" s="29">
        <v>215</v>
      </c>
      <c r="E31" s="30" t="s">
        <v>329</v>
      </c>
      <c r="F31" s="35">
        <v>275000</v>
      </c>
      <c r="G31" s="35">
        <v>2288000</v>
      </c>
      <c r="H31" s="31">
        <f t="shared" si="1"/>
        <v>2563000</v>
      </c>
    </row>
    <row r="32" spans="1:8">
      <c r="A32" s="6"/>
      <c r="B32" s="7"/>
      <c r="C32" s="8"/>
      <c r="D32" s="29">
        <v>301</v>
      </c>
      <c r="E32" s="30" t="s">
        <v>331</v>
      </c>
      <c r="F32" s="35">
        <v>2531200</v>
      </c>
      <c r="G32" s="35">
        <v>2744565</v>
      </c>
      <c r="H32" s="31">
        <f t="shared" si="1"/>
        <v>5275765</v>
      </c>
    </row>
    <row r="33" spans="1:8">
      <c r="A33" s="6"/>
      <c r="B33" s="7"/>
      <c r="C33" s="8"/>
      <c r="D33" s="29">
        <v>307</v>
      </c>
      <c r="E33" s="30" t="s">
        <v>336</v>
      </c>
      <c r="F33" s="35">
        <v>1000</v>
      </c>
      <c r="G33" s="35">
        <v>1000</v>
      </c>
      <c r="H33" s="31">
        <f t="shared" si="1"/>
        <v>2000</v>
      </c>
    </row>
    <row r="34" spans="1:8">
      <c r="A34" s="6"/>
      <c r="B34" s="7"/>
      <c r="C34" s="8"/>
      <c r="D34" s="29">
        <v>401</v>
      </c>
      <c r="E34" s="30" t="s">
        <v>339</v>
      </c>
      <c r="F34" s="35">
        <v>13225222.68</v>
      </c>
      <c r="G34" s="35">
        <v>400000</v>
      </c>
      <c r="H34" s="31">
        <f t="shared" si="1"/>
        <v>13625222.68</v>
      </c>
    </row>
    <row r="35" spans="1:8">
      <c r="A35" s="6"/>
      <c r="B35" s="7"/>
      <c r="C35" s="8"/>
      <c r="D35" s="29">
        <v>402</v>
      </c>
      <c r="E35" s="30" t="s">
        <v>342</v>
      </c>
      <c r="F35" s="35">
        <v>22875800</v>
      </c>
      <c r="G35" s="35">
        <v>5495740</v>
      </c>
      <c r="H35" s="31">
        <f t="shared" si="1"/>
        <v>28371540</v>
      </c>
    </row>
    <row r="36" spans="1:8" ht="22.5">
      <c r="A36" s="6"/>
      <c r="B36" s="7"/>
      <c r="C36" s="8"/>
      <c r="D36" s="29">
        <v>512</v>
      </c>
      <c r="E36" s="30" t="s">
        <v>346</v>
      </c>
      <c r="F36" s="35">
        <v>1362816</v>
      </c>
      <c r="G36" s="35">
        <v>500000</v>
      </c>
      <c r="H36" s="31">
        <f t="shared" si="1"/>
        <v>1862816</v>
      </c>
    </row>
    <row r="37" spans="1:8">
      <c r="A37" s="6"/>
      <c r="B37" s="7"/>
      <c r="C37" s="8"/>
      <c r="D37" s="29">
        <v>605</v>
      </c>
      <c r="E37" s="30" t="s">
        <v>351</v>
      </c>
      <c r="F37" s="35"/>
      <c r="G37" s="35">
        <v>3296014.97</v>
      </c>
      <c r="H37" s="31">
        <f t="shared" si="1"/>
        <v>3296014.97</v>
      </c>
    </row>
    <row r="38" spans="1:8">
      <c r="A38" s="6"/>
      <c r="B38" s="7"/>
      <c r="C38" s="8"/>
      <c r="D38" s="29">
        <v>610</v>
      </c>
      <c r="E38" s="30" t="s">
        <v>355</v>
      </c>
      <c r="F38" s="35"/>
      <c r="G38" s="35">
        <v>420000</v>
      </c>
      <c r="H38" s="31">
        <f t="shared" si="1"/>
        <v>420000</v>
      </c>
    </row>
    <row r="39" spans="1:8">
      <c r="A39" s="6"/>
      <c r="B39" s="7"/>
      <c r="C39" s="8"/>
      <c r="D39" s="29">
        <v>615</v>
      </c>
      <c r="E39" s="30" t="s">
        <v>359</v>
      </c>
      <c r="F39" s="35"/>
      <c r="G39" s="35">
        <v>1612084.35</v>
      </c>
      <c r="H39" s="31">
        <f t="shared" si="1"/>
        <v>1612084.35</v>
      </c>
    </row>
    <row r="40" spans="1:8">
      <c r="A40" s="6"/>
      <c r="B40" s="7"/>
      <c r="C40" s="8"/>
      <c r="D40" s="29">
        <v>622</v>
      </c>
      <c r="E40" s="30" t="s">
        <v>364</v>
      </c>
      <c r="F40" s="35"/>
      <c r="G40" s="35">
        <v>60000</v>
      </c>
      <c r="H40" s="31">
        <f t="shared" si="1"/>
        <v>60000</v>
      </c>
    </row>
    <row r="41" spans="1:8" ht="22.5">
      <c r="A41" s="6"/>
      <c r="B41" s="7"/>
      <c r="C41" s="8"/>
      <c r="D41" s="29">
        <v>629</v>
      </c>
      <c r="E41" s="30" t="s">
        <v>365</v>
      </c>
      <c r="F41" s="35">
        <v>1000</v>
      </c>
      <c r="G41" s="35">
        <v>1000</v>
      </c>
      <c r="H41" s="31">
        <f t="shared" si="1"/>
        <v>2000</v>
      </c>
    </row>
    <row r="42" spans="1:8" ht="22.5">
      <c r="A42" s="6"/>
      <c r="B42" s="7"/>
      <c r="C42" s="8"/>
      <c r="D42" s="29">
        <v>643</v>
      </c>
      <c r="E42" s="30" t="s">
        <v>370</v>
      </c>
      <c r="F42" s="35">
        <v>1000</v>
      </c>
      <c r="G42" s="35">
        <v>1000</v>
      </c>
      <c r="H42" s="31">
        <f t="shared" si="1"/>
        <v>2000</v>
      </c>
    </row>
    <row r="43" spans="1:8">
      <c r="A43" s="6"/>
      <c r="B43" s="7"/>
      <c r="C43" s="8"/>
      <c r="D43" s="29"/>
      <c r="E43" s="30"/>
      <c r="F43" s="35"/>
      <c r="G43" s="35"/>
      <c r="H43" s="35"/>
    </row>
    <row r="44" spans="1:8" ht="8.25" customHeight="1">
      <c r="A44" s="6"/>
      <c r="B44" s="7"/>
      <c r="C44" s="8"/>
      <c r="D44" s="29"/>
      <c r="E44" s="30"/>
      <c r="F44" s="35"/>
      <c r="G44" s="35"/>
      <c r="H44" s="35"/>
    </row>
    <row r="45" spans="1:8" ht="45">
      <c r="A45" s="6">
        <v>34</v>
      </c>
      <c r="B45" s="16" t="s">
        <v>447</v>
      </c>
      <c r="C45" s="8" t="s">
        <v>452</v>
      </c>
      <c r="D45" s="29">
        <v>720</v>
      </c>
      <c r="E45" s="30" t="s">
        <v>298</v>
      </c>
      <c r="F45" s="35">
        <v>5658650.7999999998</v>
      </c>
      <c r="G45" s="35">
        <v>15640394</v>
      </c>
      <c r="H45" s="35">
        <f t="shared" ref="H45:H61" si="2">F45+G45</f>
        <v>21299044.800000001</v>
      </c>
    </row>
    <row r="46" spans="1:8">
      <c r="A46" s="6"/>
      <c r="B46" s="7"/>
      <c r="C46" s="8"/>
      <c r="D46" s="29">
        <v>722</v>
      </c>
      <c r="E46" s="30" t="s">
        <v>310</v>
      </c>
      <c r="F46" s="35">
        <v>1383050</v>
      </c>
      <c r="G46" s="35"/>
      <c r="H46" s="35">
        <f t="shared" si="2"/>
        <v>1383050</v>
      </c>
    </row>
    <row r="47" spans="1:8">
      <c r="A47" s="6"/>
      <c r="B47" s="7"/>
      <c r="C47" s="8"/>
      <c r="D47" s="29">
        <v>753</v>
      </c>
      <c r="E47" s="30" t="s">
        <v>316</v>
      </c>
      <c r="F47" s="35">
        <v>30451047.969999999</v>
      </c>
      <c r="G47" s="35">
        <v>64494681.390000001</v>
      </c>
      <c r="H47" s="35">
        <f t="shared" si="2"/>
        <v>94945729.359999999</v>
      </c>
    </row>
    <row r="48" spans="1:8">
      <c r="A48" s="6"/>
      <c r="B48" s="7"/>
      <c r="C48" s="8"/>
      <c r="D48" s="29">
        <v>202</v>
      </c>
      <c r="E48" s="30" t="s">
        <v>319</v>
      </c>
      <c r="F48" s="35">
        <v>2228709.0299999998</v>
      </c>
      <c r="G48" s="35">
        <v>5591551</v>
      </c>
      <c r="H48" s="35">
        <f t="shared" si="2"/>
        <v>7820260.0299999993</v>
      </c>
    </row>
    <row r="49" spans="1:8">
      <c r="A49" s="6"/>
      <c r="B49" s="7"/>
      <c r="C49" s="8"/>
      <c r="D49" s="29">
        <v>206</v>
      </c>
      <c r="E49" s="30" t="s">
        <v>325</v>
      </c>
      <c r="F49" s="35">
        <v>5960404</v>
      </c>
      <c r="G49" s="35">
        <v>5397431</v>
      </c>
      <c r="H49" s="35">
        <f t="shared" si="2"/>
        <v>11357835</v>
      </c>
    </row>
    <row r="50" spans="1:8">
      <c r="A50" s="6"/>
      <c r="B50" s="7"/>
      <c r="C50" s="8"/>
      <c r="D50" s="29">
        <v>215</v>
      </c>
      <c r="E50" s="30" t="s">
        <v>329</v>
      </c>
      <c r="F50" s="35">
        <v>275000</v>
      </c>
      <c r="G50" s="35">
        <v>2826500.24</v>
      </c>
      <c r="H50" s="35">
        <f t="shared" si="2"/>
        <v>3101500.24</v>
      </c>
    </row>
    <row r="51" spans="1:8">
      <c r="A51" s="6"/>
      <c r="B51" s="7"/>
      <c r="C51" s="8"/>
      <c r="D51" s="29">
        <v>301</v>
      </c>
      <c r="E51" s="30" t="s">
        <v>331</v>
      </c>
      <c r="F51" s="35">
        <v>2350000</v>
      </c>
      <c r="G51" s="35">
        <v>300000</v>
      </c>
      <c r="H51" s="35">
        <f t="shared" si="2"/>
        <v>2650000</v>
      </c>
    </row>
    <row r="52" spans="1:8">
      <c r="A52" s="6"/>
      <c r="B52" s="7"/>
      <c r="C52" s="8"/>
      <c r="D52" s="29">
        <v>307</v>
      </c>
      <c r="E52" s="30" t="s">
        <v>336</v>
      </c>
      <c r="F52" s="35">
        <v>1000</v>
      </c>
      <c r="G52" s="35"/>
      <c r="H52" s="35">
        <f t="shared" si="2"/>
        <v>1000</v>
      </c>
    </row>
    <row r="53" spans="1:8">
      <c r="A53" s="6"/>
      <c r="B53" s="7"/>
      <c r="C53" s="8"/>
      <c r="D53" s="29">
        <v>401</v>
      </c>
      <c r="E53" s="30" t="s">
        <v>339</v>
      </c>
      <c r="F53" s="35">
        <v>11812917.789999999</v>
      </c>
      <c r="G53" s="35">
        <v>400000</v>
      </c>
      <c r="H53" s="35">
        <f t="shared" si="2"/>
        <v>12212917.789999999</v>
      </c>
    </row>
    <row r="54" spans="1:8">
      <c r="A54" s="6"/>
      <c r="B54" s="7"/>
      <c r="C54" s="8"/>
      <c r="D54" s="29">
        <v>402</v>
      </c>
      <c r="E54" s="30" t="s">
        <v>342</v>
      </c>
      <c r="F54" s="35">
        <v>22290584.469999999</v>
      </c>
      <c r="G54" s="35">
        <v>5126312</v>
      </c>
      <c r="H54" s="35">
        <f t="shared" si="2"/>
        <v>27416896.469999999</v>
      </c>
    </row>
    <row r="55" spans="1:8" ht="22.5">
      <c r="A55" s="6"/>
      <c r="B55" s="7"/>
      <c r="C55" s="8"/>
      <c r="D55" s="29">
        <v>512</v>
      </c>
      <c r="E55" s="30" t="s">
        <v>346</v>
      </c>
      <c r="F55" s="35">
        <v>1260000</v>
      </c>
      <c r="G55" s="35"/>
      <c r="H55" s="35">
        <f t="shared" si="2"/>
        <v>1260000</v>
      </c>
    </row>
    <row r="56" spans="1:8">
      <c r="A56" s="6"/>
      <c r="B56" s="7"/>
      <c r="C56" s="8"/>
      <c r="D56" s="29">
        <v>605</v>
      </c>
      <c r="E56" s="30" t="s">
        <v>351</v>
      </c>
      <c r="F56" s="35"/>
      <c r="G56" s="35">
        <v>2172000</v>
      </c>
      <c r="H56" s="35">
        <f t="shared" si="2"/>
        <v>2172000</v>
      </c>
    </row>
    <row r="57" spans="1:8">
      <c r="A57" s="6"/>
      <c r="B57" s="7"/>
      <c r="C57" s="8"/>
      <c r="D57" s="29">
        <v>610</v>
      </c>
      <c r="E57" s="30" t="s">
        <v>355</v>
      </c>
      <c r="F57" s="35"/>
      <c r="G57" s="35">
        <v>226521.31</v>
      </c>
      <c r="H57" s="35">
        <f t="shared" si="2"/>
        <v>226521.31</v>
      </c>
    </row>
    <row r="58" spans="1:8">
      <c r="A58" s="6"/>
      <c r="B58" s="7"/>
      <c r="C58" s="8"/>
      <c r="D58" s="29">
        <v>615</v>
      </c>
      <c r="E58" s="30" t="s">
        <v>359</v>
      </c>
      <c r="F58" s="35"/>
      <c r="G58" s="35">
        <v>150000</v>
      </c>
      <c r="H58" s="35">
        <f t="shared" si="2"/>
        <v>150000</v>
      </c>
    </row>
    <row r="59" spans="1:8">
      <c r="A59" s="6"/>
      <c r="B59" s="7"/>
      <c r="C59" s="8"/>
      <c r="D59" s="29">
        <v>622</v>
      </c>
      <c r="E59" s="30" t="s">
        <v>364</v>
      </c>
      <c r="F59" s="35"/>
      <c r="G59" s="35">
        <v>69336.88</v>
      </c>
      <c r="H59" s="35">
        <f t="shared" si="2"/>
        <v>69336.88</v>
      </c>
    </row>
    <row r="60" spans="1:8" ht="22.5">
      <c r="A60" s="6"/>
      <c r="B60" s="7"/>
      <c r="C60" s="8"/>
      <c r="D60" s="29">
        <v>629</v>
      </c>
      <c r="E60" s="30" t="s">
        <v>365</v>
      </c>
      <c r="F60" s="35">
        <v>1000</v>
      </c>
      <c r="G60" s="35">
        <v>1000</v>
      </c>
      <c r="H60" s="35">
        <f t="shared" si="2"/>
        <v>2000</v>
      </c>
    </row>
    <row r="61" spans="1:8" ht="22.5">
      <c r="A61" s="6"/>
      <c r="B61" s="7"/>
      <c r="C61" s="8"/>
      <c r="D61" s="29">
        <v>643</v>
      </c>
      <c r="E61" s="30" t="s">
        <v>370</v>
      </c>
      <c r="F61" s="35">
        <v>1000</v>
      </c>
      <c r="G61" s="35"/>
      <c r="H61" s="35">
        <f t="shared" si="2"/>
        <v>1000</v>
      </c>
    </row>
    <row r="62" spans="1:8">
      <c r="A62" s="6"/>
      <c r="B62" s="7"/>
      <c r="C62" s="8"/>
      <c r="D62" s="29"/>
      <c r="E62" s="30"/>
      <c r="F62" s="35"/>
      <c r="G62" s="35"/>
      <c r="H62" s="35"/>
    </row>
    <row r="63" spans="1:8" ht="5.25" customHeight="1">
      <c r="A63" s="6"/>
      <c r="B63" s="7"/>
      <c r="C63" s="8"/>
      <c r="D63" s="29"/>
      <c r="E63" s="30"/>
      <c r="F63" s="35"/>
      <c r="G63" s="35"/>
      <c r="H63" s="35"/>
    </row>
    <row r="64" spans="1:8" ht="45">
      <c r="A64" s="6">
        <v>33</v>
      </c>
      <c r="B64" s="16" t="s">
        <v>523</v>
      </c>
      <c r="C64" s="8" t="s">
        <v>529</v>
      </c>
      <c r="D64" s="29">
        <v>720</v>
      </c>
      <c r="E64" s="30" t="s">
        <v>530</v>
      </c>
      <c r="F64" s="35">
        <v>1000000</v>
      </c>
      <c r="G64" s="35">
        <v>11428600</v>
      </c>
      <c r="H64" s="35">
        <f t="shared" ref="H64:H79" si="3">F64+G64</f>
        <v>12428600</v>
      </c>
    </row>
    <row r="65" spans="1:8">
      <c r="A65" s="6"/>
      <c r="B65" s="7"/>
      <c r="C65" s="8"/>
      <c r="D65" s="29">
        <v>753</v>
      </c>
      <c r="E65" s="30" t="s">
        <v>537</v>
      </c>
      <c r="F65" s="35">
        <v>6000000</v>
      </c>
      <c r="G65" s="35">
        <v>90064000</v>
      </c>
      <c r="H65" s="35">
        <f t="shared" si="3"/>
        <v>96064000</v>
      </c>
    </row>
    <row r="66" spans="1:8">
      <c r="A66" s="6"/>
      <c r="B66" s="7"/>
      <c r="C66" s="8"/>
      <c r="D66" s="29">
        <v>202</v>
      </c>
      <c r="E66" s="30" t="s">
        <v>541</v>
      </c>
      <c r="F66" s="35">
        <v>1000000</v>
      </c>
      <c r="G66" s="35">
        <v>628632</v>
      </c>
      <c r="H66" s="35">
        <f t="shared" si="3"/>
        <v>1628632</v>
      </c>
    </row>
    <row r="67" spans="1:8">
      <c r="A67" s="6"/>
      <c r="B67" s="7"/>
      <c r="C67" s="8"/>
      <c r="D67" s="29">
        <v>206</v>
      </c>
      <c r="E67" s="30" t="s">
        <v>545</v>
      </c>
      <c r="F67" s="35">
        <v>500000</v>
      </c>
      <c r="G67" s="35">
        <v>6538762.4199999999</v>
      </c>
      <c r="H67" s="35">
        <f t="shared" si="3"/>
        <v>7038762.4199999999</v>
      </c>
    </row>
    <row r="68" spans="1:8">
      <c r="A68" s="6"/>
      <c r="B68" s="7"/>
      <c r="C68" s="8"/>
      <c r="D68" s="29">
        <v>215</v>
      </c>
      <c r="E68" s="30" t="s">
        <v>548</v>
      </c>
      <c r="F68" s="35">
        <v>75000</v>
      </c>
      <c r="G68" s="35">
        <v>100000</v>
      </c>
      <c r="H68" s="35">
        <f t="shared" si="3"/>
        <v>175000</v>
      </c>
    </row>
    <row r="69" spans="1:8">
      <c r="A69" s="6"/>
      <c r="B69" s="7"/>
      <c r="C69" s="8"/>
      <c r="D69" s="29">
        <v>301</v>
      </c>
      <c r="E69" s="30" t="s">
        <v>331</v>
      </c>
      <c r="F69" s="35">
        <v>800000</v>
      </c>
      <c r="G69" s="35">
        <v>8852607.9800000004</v>
      </c>
      <c r="H69" s="35">
        <f t="shared" si="3"/>
        <v>9652607.9800000004</v>
      </c>
    </row>
    <row r="70" spans="1:8">
      <c r="A70" s="6"/>
      <c r="B70" s="7"/>
      <c r="C70" s="8"/>
      <c r="D70" s="29">
        <v>307</v>
      </c>
      <c r="E70" s="30" t="s">
        <v>556</v>
      </c>
      <c r="F70" s="35">
        <v>1000</v>
      </c>
      <c r="G70" s="35">
        <v>1000</v>
      </c>
      <c r="H70" s="35">
        <f t="shared" si="3"/>
        <v>2000</v>
      </c>
    </row>
    <row r="71" spans="1:8">
      <c r="A71" s="6"/>
      <c r="B71" s="7"/>
      <c r="C71" s="8"/>
      <c r="D71" s="29">
        <v>401</v>
      </c>
      <c r="E71" s="30" t="s">
        <v>339</v>
      </c>
      <c r="F71" s="35">
        <v>10000000</v>
      </c>
      <c r="G71" s="35">
        <v>1300000</v>
      </c>
      <c r="H71" s="35">
        <f t="shared" si="3"/>
        <v>11300000</v>
      </c>
    </row>
    <row r="72" spans="1:8">
      <c r="A72" s="6"/>
      <c r="B72" s="7"/>
      <c r="C72" s="8"/>
      <c r="D72" s="29">
        <v>402</v>
      </c>
      <c r="E72" s="30" t="s">
        <v>342</v>
      </c>
      <c r="F72" s="35">
        <v>20000000</v>
      </c>
      <c r="G72" s="35">
        <v>1061000</v>
      </c>
      <c r="H72" s="35">
        <f t="shared" si="3"/>
        <v>21061000</v>
      </c>
    </row>
    <row r="73" spans="1:8">
      <c r="A73" s="6"/>
      <c r="B73" s="7"/>
      <c r="C73" s="8"/>
      <c r="D73" s="29">
        <v>512</v>
      </c>
      <c r="E73" s="30" t="s">
        <v>565</v>
      </c>
      <c r="F73" s="35">
        <v>700000</v>
      </c>
      <c r="G73" s="35">
        <v>574109.35</v>
      </c>
      <c r="H73" s="35">
        <f t="shared" si="3"/>
        <v>1274109.3500000001</v>
      </c>
    </row>
    <row r="74" spans="1:8">
      <c r="A74" s="6"/>
      <c r="B74" s="7"/>
      <c r="C74" s="8"/>
      <c r="D74" s="29">
        <v>605</v>
      </c>
      <c r="E74" s="30" t="s">
        <v>571</v>
      </c>
      <c r="F74" s="35"/>
      <c r="G74" s="35">
        <v>1630000</v>
      </c>
      <c r="H74" s="35">
        <f t="shared" si="3"/>
        <v>1630000</v>
      </c>
    </row>
    <row r="75" spans="1:8">
      <c r="A75" s="6"/>
      <c r="B75" s="7"/>
      <c r="C75" s="8"/>
      <c r="D75" s="29">
        <v>610</v>
      </c>
      <c r="E75" s="30" t="s">
        <v>355</v>
      </c>
      <c r="F75" s="35"/>
      <c r="G75" s="35">
        <v>541000</v>
      </c>
      <c r="H75" s="35">
        <f t="shared" si="3"/>
        <v>541000</v>
      </c>
    </row>
    <row r="76" spans="1:8">
      <c r="A76" s="6"/>
      <c r="B76" s="7"/>
      <c r="C76" s="8"/>
      <c r="D76" s="29">
        <v>615</v>
      </c>
      <c r="E76" s="30" t="s">
        <v>359</v>
      </c>
      <c r="F76" s="35"/>
      <c r="G76" s="35">
        <v>270000</v>
      </c>
      <c r="H76" s="35">
        <f t="shared" si="3"/>
        <v>270000</v>
      </c>
    </row>
    <row r="77" spans="1:8">
      <c r="A77" s="6"/>
      <c r="B77" s="7"/>
      <c r="C77" s="8"/>
      <c r="D77" s="29">
        <v>622</v>
      </c>
      <c r="E77" s="30" t="s">
        <v>364</v>
      </c>
      <c r="F77" s="35"/>
      <c r="G77" s="35">
        <v>598600</v>
      </c>
      <c r="H77" s="35">
        <f t="shared" si="3"/>
        <v>598600</v>
      </c>
    </row>
    <row r="78" spans="1:8">
      <c r="A78" s="6"/>
      <c r="B78" s="7"/>
      <c r="C78" s="8"/>
      <c r="D78" s="29">
        <v>629</v>
      </c>
      <c r="E78" s="30" t="s">
        <v>582</v>
      </c>
      <c r="F78" s="35"/>
      <c r="G78" s="35">
        <v>1000</v>
      </c>
      <c r="H78" s="35">
        <f t="shared" si="3"/>
        <v>1000</v>
      </c>
    </row>
    <row r="79" spans="1:8">
      <c r="A79" s="6"/>
      <c r="B79" s="7"/>
      <c r="C79" s="8"/>
      <c r="D79" s="29">
        <v>643</v>
      </c>
      <c r="E79" s="30" t="s">
        <v>586</v>
      </c>
      <c r="F79" s="35">
        <v>10000</v>
      </c>
      <c r="G79" s="35"/>
      <c r="H79" s="35">
        <f t="shared" si="3"/>
        <v>10000</v>
      </c>
    </row>
    <row r="81" spans="1:8" ht="9" customHeight="1">
      <c r="A81" s="6"/>
      <c r="B81" s="7"/>
      <c r="C81" s="8"/>
      <c r="D81" s="29"/>
      <c r="E81" s="30"/>
      <c r="F81" s="35"/>
      <c r="G81" s="35"/>
      <c r="H81" s="35"/>
    </row>
    <row r="82" spans="1:8" ht="45">
      <c r="A82" s="6">
        <v>32</v>
      </c>
      <c r="B82" s="16" t="s">
        <v>592</v>
      </c>
      <c r="C82" s="8" t="s">
        <v>597</v>
      </c>
      <c r="D82" s="29">
        <v>720</v>
      </c>
      <c r="E82" s="30" t="s">
        <v>530</v>
      </c>
      <c r="F82" s="35">
        <v>721910</v>
      </c>
      <c r="G82" s="35">
        <v>11003500</v>
      </c>
      <c r="H82" s="35">
        <f t="shared" ref="H82:H97" si="4">F82+G82</f>
        <v>11725410</v>
      </c>
    </row>
    <row r="83" spans="1:8">
      <c r="A83" s="6"/>
      <c r="B83" s="7"/>
      <c r="C83" s="8"/>
      <c r="D83" s="29">
        <v>753</v>
      </c>
      <c r="E83" s="30" t="s">
        <v>601</v>
      </c>
      <c r="F83" s="35">
        <v>2502000</v>
      </c>
      <c r="G83" s="35">
        <v>43603000</v>
      </c>
      <c r="H83" s="35">
        <f t="shared" si="4"/>
        <v>46105000</v>
      </c>
    </row>
    <row r="84" spans="1:8">
      <c r="A84" s="6"/>
      <c r="B84" s="7"/>
      <c r="C84" s="8"/>
      <c r="D84" s="29">
        <v>202</v>
      </c>
      <c r="E84" s="30" t="s">
        <v>541</v>
      </c>
      <c r="F84" s="35">
        <v>176500</v>
      </c>
      <c r="G84" s="35">
        <v>608631</v>
      </c>
      <c r="H84" s="35">
        <f t="shared" si="4"/>
        <v>785131</v>
      </c>
    </row>
    <row r="85" spans="1:8">
      <c r="A85" s="6"/>
      <c r="B85" s="7"/>
      <c r="C85" s="8"/>
      <c r="D85" s="29">
        <v>206</v>
      </c>
      <c r="E85" s="30" t="s">
        <v>545</v>
      </c>
      <c r="F85" s="35">
        <v>261530</v>
      </c>
      <c r="G85" s="35">
        <v>1073377</v>
      </c>
      <c r="H85" s="35">
        <f t="shared" si="4"/>
        <v>1334907</v>
      </c>
    </row>
    <row r="86" spans="1:8">
      <c r="A86" s="6"/>
      <c r="B86" s="7"/>
      <c r="C86" s="8"/>
      <c r="D86" s="29">
        <v>215</v>
      </c>
      <c r="E86" s="30" t="s">
        <v>548</v>
      </c>
      <c r="F86" s="35">
        <v>100000</v>
      </c>
      <c r="G86" s="35">
        <v>3173000</v>
      </c>
      <c r="H86" s="35">
        <f t="shared" si="4"/>
        <v>3273000</v>
      </c>
    </row>
    <row r="87" spans="1:8">
      <c r="A87" s="6"/>
      <c r="B87" s="7"/>
      <c r="C87" s="8"/>
      <c r="D87" s="29">
        <v>301</v>
      </c>
      <c r="E87" s="30" t="s">
        <v>331</v>
      </c>
      <c r="F87" s="35">
        <v>497462</v>
      </c>
      <c r="G87" s="35">
        <v>9459603</v>
      </c>
      <c r="H87" s="35">
        <f t="shared" si="4"/>
        <v>9957065</v>
      </c>
    </row>
    <row r="88" spans="1:8">
      <c r="A88" s="6"/>
      <c r="B88" s="7"/>
      <c r="C88" s="8"/>
      <c r="D88" s="29">
        <v>307</v>
      </c>
      <c r="E88" s="30" t="s">
        <v>556</v>
      </c>
      <c r="F88" s="35"/>
      <c r="G88" s="35">
        <v>1000</v>
      </c>
      <c r="H88" s="35">
        <f t="shared" si="4"/>
        <v>1000</v>
      </c>
    </row>
    <row r="89" spans="1:8">
      <c r="A89" s="6"/>
      <c r="B89" s="7"/>
      <c r="C89" s="8"/>
      <c r="D89" s="29">
        <v>401</v>
      </c>
      <c r="E89" s="30" t="s">
        <v>339</v>
      </c>
      <c r="F89" s="35">
        <v>9435794</v>
      </c>
      <c r="G89" s="35">
        <v>5114018</v>
      </c>
      <c r="H89" s="35">
        <f t="shared" si="4"/>
        <v>14549812</v>
      </c>
    </row>
    <row r="90" spans="1:8">
      <c r="A90" s="6"/>
      <c r="B90" s="7"/>
      <c r="C90" s="8"/>
      <c r="D90" s="29">
        <v>402</v>
      </c>
      <c r="E90" s="30" t="s">
        <v>342</v>
      </c>
      <c r="F90" s="35">
        <v>19769300</v>
      </c>
      <c r="G90" s="35">
        <v>8900000</v>
      </c>
      <c r="H90" s="35">
        <f t="shared" si="4"/>
        <v>28669300</v>
      </c>
    </row>
    <row r="91" spans="1:8">
      <c r="A91" s="6"/>
      <c r="B91" s="7"/>
      <c r="C91" s="8"/>
      <c r="D91" s="29">
        <v>512</v>
      </c>
      <c r="E91" s="30" t="s">
        <v>565</v>
      </c>
      <c r="F91" s="35">
        <v>700000</v>
      </c>
      <c r="G91" s="35">
        <v>188000</v>
      </c>
      <c r="H91" s="35">
        <f t="shared" si="4"/>
        <v>888000</v>
      </c>
    </row>
    <row r="92" spans="1:8">
      <c r="A92" s="6"/>
      <c r="B92" s="7"/>
      <c r="C92" s="8"/>
      <c r="D92" s="29">
        <v>605</v>
      </c>
      <c r="E92" s="30" t="s">
        <v>571</v>
      </c>
      <c r="F92" s="35"/>
      <c r="G92" s="35">
        <v>1630000</v>
      </c>
      <c r="H92" s="35">
        <f t="shared" si="4"/>
        <v>1630000</v>
      </c>
    </row>
    <row r="93" spans="1:8">
      <c r="A93" s="6"/>
      <c r="B93" s="7"/>
      <c r="C93" s="8"/>
      <c r="D93" s="29">
        <v>610</v>
      </c>
      <c r="E93" s="30" t="s">
        <v>355</v>
      </c>
      <c r="F93" s="35"/>
      <c r="G93" s="35">
        <v>1000</v>
      </c>
      <c r="H93" s="35">
        <f t="shared" si="4"/>
        <v>1000</v>
      </c>
    </row>
    <row r="94" spans="1:8">
      <c r="A94" s="6"/>
      <c r="B94" s="7"/>
      <c r="C94" s="8"/>
      <c r="D94" s="29">
        <v>615</v>
      </c>
      <c r="E94" s="30" t="s">
        <v>359</v>
      </c>
      <c r="F94" s="35"/>
      <c r="G94" s="35">
        <v>100000</v>
      </c>
      <c r="H94" s="35">
        <f t="shared" si="4"/>
        <v>100000</v>
      </c>
    </row>
    <row r="95" spans="1:8">
      <c r="A95" s="6"/>
      <c r="B95" s="7"/>
      <c r="C95" s="8"/>
      <c r="D95" s="29">
        <v>622</v>
      </c>
      <c r="E95" s="30" t="s">
        <v>364</v>
      </c>
      <c r="F95" s="35"/>
      <c r="G95" s="35">
        <v>56000</v>
      </c>
      <c r="H95" s="35">
        <f t="shared" si="4"/>
        <v>56000</v>
      </c>
    </row>
    <row r="96" spans="1:8">
      <c r="A96" s="6"/>
      <c r="B96" s="7"/>
      <c r="C96" s="8"/>
      <c r="D96" s="29">
        <v>629</v>
      </c>
      <c r="E96" s="30" t="s">
        <v>582</v>
      </c>
      <c r="F96" s="35"/>
      <c r="G96" s="35">
        <v>1000</v>
      </c>
      <c r="H96" s="35">
        <f t="shared" si="4"/>
        <v>1000</v>
      </c>
    </row>
    <row r="97" spans="1:8">
      <c r="A97" s="6"/>
      <c r="B97" s="7"/>
      <c r="C97" s="8"/>
      <c r="D97" s="29">
        <v>643</v>
      </c>
      <c r="E97" s="30" t="s">
        <v>586</v>
      </c>
      <c r="F97" s="35">
        <v>10000</v>
      </c>
      <c r="G97" s="35"/>
      <c r="H97" s="35">
        <f t="shared" si="4"/>
        <v>10000</v>
      </c>
    </row>
    <row r="98" spans="1:8">
      <c r="A98" s="6"/>
      <c r="B98" s="7"/>
      <c r="C98" s="8"/>
      <c r="D98" s="29"/>
      <c r="E98" s="30"/>
      <c r="F98" s="35"/>
      <c r="G98" s="35"/>
      <c r="H98" s="35"/>
    </row>
    <row r="99" spans="1:8" ht="7.5" customHeight="1">
      <c r="A99" s="6"/>
      <c r="B99" s="7"/>
      <c r="C99" s="8"/>
      <c r="D99" s="29"/>
      <c r="E99" s="30"/>
      <c r="F99" s="35"/>
      <c r="G99" s="35"/>
      <c r="H99" s="35"/>
    </row>
    <row r="100" spans="1:8" ht="45">
      <c r="A100" s="6">
        <v>31</v>
      </c>
      <c r="B100" s="16" t="s">
        <v>636</v>
      </c>
      <c r="C100" s="8" t="s">
        <v>641</v>
      </c>
      <c r="D100" s="29">
        <v>720</v>
      </c>
      <c r="E100" s="30" t="s">
        <v>643</v>
      </c>
      <c r="F100" s="35">
        <v>110087</v>
      </c>
      <c r="G100" s="35">
        <v>67815842</v>
      </c>
      <c r="H100" s="35">
        <f t="shared" ref="H100:H113" si="5">F100+G100</f>
        <v>67925929</v>
      </c>
    </row>
    <row r="101" spans="1:8">
      <c r="A101" s="6"/>
      <c r="B101" s="7"/>
      <c r="C101" s="8"/>
      <c r="D101" s="29">
        <v>753</v>
      </c>
      <c r="E101" s="30" t="s">
        <v>601</v>
      </c>
      <c r="F101" s="35">
        <v>1730000</v>
      </c>
      <c r="G101" s="35">
        <v>40082693.979999997</v>
      </c>
      <c r="H101" s="35">
        <f t="shared" si="5"/>
        <v>41812693.979999997</v>
      </c>
    </row>
    <row r="102" spans="1:8">
      <c r="A102" s="6"/>
      <c r="B102" s="7"/>
      <c r="C102" s="8"/>
      <c r="D102" s="29">
        <v>202</v>
      </c>
      <c r="E102" s="30" t="s">
        <v>650</v>
      </c>
      <c r="F102" s="35">
        <v>176418.15</v>
      </c>
      <c r="G102" s="35">
        <v>5365818.8899999997</v>
      </c>
      <c r="H102" s="35">
        <f t="shared" si="5"/>
        <v>5542237.04</v>
      </c>
    </row>
    <row r="103" spans="1:8">
      <c r="A103" s="6"/>
      <c r="B103" s="7"/>
      <c r="C103" s="8"/>
      <c r="D103" s="29">
        <v>215</v>
      </c>
      <c r="E103" s="30" t="s">
        <v>548</v>
      </c>
      <c r="F103" s="35">
        <v>98964.49</v>
      </c>
      <c r="G103" s="35">
        <v>2818694.34</v>
      </c>
      <c r="H103" s="35">
        <f t="shared" si="5"/>
        <v>2917658.83</v>
      </c>
    </row>
    <row r="104" spans="1:8">
      <c r="A104" s="6"/>
      <c r="B104" s="7"/>
      <c r="C104" s="8"/>
      <c r="D104" s="29">
        <v>301</v>
      </c>
      <c r="E104" s="30" t="s">
        <v>331</v>
      </c>
      <c r="F104" s="35">
        <v>217462</v>
      </c>
      <c r="G104" s="35">
        <v>8255395.4100000001</v>
      </c>
      <c r="H104" s="35">
        <f t="shared" si="5"/>
        <v>8472857.4100000001</v>
      </c>
    </row>
    <row r="105" spans="1:8">
      <c r="A105" s="6"/>
      <c r="B105" s="7"/>
      <c r="C105" s="8"/>
      <c r="D105" s="29">
        <v>307</v>
      </c>
      <c r="E105" s="30" t="s">
        <v>657</v>
      </c>
      <c r="F105" s="35">
        <v>10000</v>
      </c>
      <c r="G105" s="35"/>
      <c r="H105" s="35">
        <f t="shared" si="5"/>
        <v>10000</v>
      </c>
    </row>
    <row r="106" spans="1:8">
      <c r="A106" s="6"/>
      <c r="B106" s="7"/>
      <c r="C106" s="8"/>
      <c r="D106" s="29">
        <v>401</v>
      </c>
      <c r="E106" s="30" t="s">
        <v>339</v>
      </c>
      <c r="F106" s="35">
        <v>8645384.5600000005</v>
      </c>
      <c r="G106" s="35">
        <v>118017.26</v>
      </c>
      <c r="H106" s="35">
        <f t="shared" si="5"/>
        <v>8763401.8200000003</v>
      </c>
    </row>
    <row r="107" spans="1:8">
      <c r="A107" s="6"/>
      <c r="B107" s="7"/>
      <c r="C107" s="8"/>
      <c r="D107" s="29">
        <v>402</v>
      </c>
      <c r="E107" s="30" t="s">
        <v>342</v>
      </c>
      <c r="F107" s="35">
        <v>17222459.120000001</v>
      </c>
      <c r="G107" s="35">
        <v>1950958</v>
      </c>
      <c r="H107" s="35">
        <f t="shared" si="5"/>
        <v>19173417.120000001</v>
      </c>
    </row>
    <row r="108" spans="1:8">
      <c r="A108" s="6"/>
      <c r="B108" s="7"/>
      <c r="C108" s="8"/>
      <c r="D108" s="29">
        <v>512</v>
      </c>
      <c r="E108" s="30" t="s">
        <v>665</v>
      </c>
      <c r="F108" s="35">
        <v>1800000</v>
      </c>
      <c r="G108" s="35">
        <v>111863.42</v>
      </c>
      <c r="H108" s="35">
        <f t="shared" si="5"/>
        <v>1911863.42</v>
      </c>
    </row>
    <row r="109" spans="1:8">
      <c r="A109" s="6"/>
      <c r="B109" s="7"/>
      <c r="C109" s="8"/>
      <c r="D109" s="29">
        <v>605</v>
      </c>
      <c r="E109" s="30" t="s">
        <v>668</v>
      </c>
      <c r="F109" s="35"/>
      <c r="G109" s="35">
        <v>1208827.8899999999</v>
      </c>
      <c r="H109" s="35">
        <f t="shared" si="5"/>
        <v>1208827.8899999999</v>
      </c>
    </row>
    <row r="110" spans="1:8">
      <c r="A110" s="6"/>
      <c r="B110" s="7"/>
      <c r="C110" s="8"/>
      <c r="D110" s="29">
        <v>610</v>
      </c>
      <c r="E110" s="30" t="s">
        <v>355</v>
      </c>
      <c r="F110" s="35"/>
      <c r="G110" s="35">
        <v>350000</v>
      </c>
      <c r="H110" s="35">
        <f t="shared" si="5"/>
        <v>350000</v>
      </c>
    </row>
    <row r="111" spans="1:8">
      <c r="A111" s="6"/>
      <c r="B111" s="7"/>
      <c r="C111" s="8"/>
      <c r="D111" s="29">
        <v>615</v>
      </c>
      <c r="E111" s="30" t="s">
        <v>359</v>
      </c>
      <c r="F111" s="35"/>
      <c r="G111" s="35">
        <v>255453.42</v>
      </c>
      <c r="H111" s="35">
        <f t="shared" si="5"/>
        <v>255453.42</v>
      </c>
    </row>
    <row r="112" spans="1:8">
      <c r="A112" s="6"/>
      <c r="B112" s="7"/>
      <c r="C112" s="8"/>
      <c r="D112" s="29">
        <v>622</v>
      </c>
      <c r="E112" s="30" t="s">
        <v>364</v>
      </c>
      <c r="F112" s="35"/>
      <c r="G112" s="35">
        <v>26000</v>
      </c>
      <c r="H112" s="35">
        <f t="shared" si="5"/>
        <v>26000</v>
      </c>
    </row>
    <row r="113" spans="1:8">
      <c r="A113" s="6"/>
      <c r="B113" s="7"/>
      <c r="C113" s="8"/>
      <c r="D113" s="29">
        <v>629</v>
      </c>
      <c r="E113" s="30" t="s">
        <v>582</v>
      </c>
      <c r="F113" s="35"/>
      <c r="G113" s="35">
        <v>1000</v>
      </c>
      <c r="H113" s="35">
        <f t="shared" si="5"/>
        <v>1000</v>
      </c>
    </row>
    <row r="114" spans="1:8">
      <c r="A114" s="6"/>
      <c r="B114" s="7"/>
      <c r="C114" s="8"/>
      <c r="D114" s="29"/>
      <c r="E114" s="30"/>
      <c r="F114" s="35"/>
      <c r="G114" s="35"/>
      <c r="H114" s="35"/>
    </row>
    <row r="115" spans="1:8" ht="4.5" customHeight="1">
      <c r="A115" s="6"/>
      <c r="B115" s="7"/>
      <c r="C115" s="8"/>
      <c r="D115" s="39"/>
      <c r="E115" s="30"/>
      <c r="F115" s="35"/>
      <c r="G115" s="35"/>
      <c r="H115" s="35"/>
    </row>
    <row r="116" spans="1:8" ht="45">
      <c r="A116" s="6">
        <v>30</v>
      </c>
      <c r="B116" s="16" t="s">
        <v>687</v>
      </c>
      <c r="C116" s="8" t="s">
        <v>691</v>
      </c>
      <c r="D116" s="29">
        <v>720</v>
      </c>
      <c r="E116" s="30" t="s">
        <v>692</v>
      </c>
      <c r="F116" s="35">
        <v>102900</v>
      </c>
      <c r="G116" s="35">
        <v>62970261.439999998</v>
      </c>
      <c r="H116" s="35">
        <f t="shared" ref="H116:H130" si="6">F116+G116</f>
        <v>63073161.439999998</v>
      </c>
    </row>
    <row r="117" spans="1:8">
      <c r="A117" s="6"/>
      <c r="B117" s="7"/>
      <c r="C117" s="8"/>
      <c r="D117" s="29">
        <v>753</v>
      </c>
      <c r="E117" s="30" t="s">
        <v>697</v>
      </c>
      <c r="F117" s="35">
        <v>1399730</v>
      </c>
      <c r="G117" s="35">
        <v>40406960</v>
      </c>
      <c r="H117" s="35">
        <f t="shared" si="6"/>
        <v>41806690</v>
      </c>
    </row>
    <row r="118" spans="1:8">
      <c r="A118" s="6"/>
      <c r="B118" s="7"/>
      <c r="C118" s="8"/>
      <c r="D118" s="29">
        <v>202</v>
      </c>
      <c r="E118" s="30" t="s">
        <v>701</v>
      </c>
      <c r="F118" s="35">
        <v>190970</v>
      </c>
      <c r="G118" s="35">
        <v>1651000</v>
      </c>
      <c r="H118" s="35">
        <f t="shared" si="6"/>
        <v>1841970</v>
      </c>
    </row>
    <row r="119" spans="1:8">
      <c r="A119" s="6"/>
      <c r="B119" s="7"/>
      <c r="C119" s="8"/>
      <c r="D119" s="29">
        <v>206</v>
      </c>
      <c r="E119" s="30" t="s">
        <v>706</v>
      </c>
      <c r="F119" s="35">
        <v>44530</v>
      </c>
      <c r="G119" s="35">
        <v>5505300</v>
      </c>
      <c r="H119" s="35">
        <f t="shared" si="6"/>
        <v>5549830</v>
      </c>
    </row>
    <row r="120" spans="1:8">
      <c r="A120" s="6"/>
      <c r="B120" s="7"/>
      <c r="C120" s="8"/>
      <c r="D120" s="29">
        <v>215</v>
      </c>
      <c r="E120" s="30" t="s">
        <v>707</v>
      </c>
      <c r="F120" s="35">
        <v>25000</v>
      </c>
      <c r="G120" s="35">
        <v>3729150</v>
      </c>
      <c r="H120" s="35">
        <f t="shared" si="6"/>
        <v>3754150</v>
      </c>
    </row>
    <row r="121" spans="1:8">
      <c r="A121" s="6"/>
      <c r="B121" s="7"/>
      <c r="C121" s="8"/>
      <c r="D121" s="29">
        <v>301</v>
      </c>
      <c r="E121" s="30" t="s">
        <v>710</v>
      </c>
      <c r="F121" s="35">
        <v>171680</v>
      </c>
      <c r="G121" s="35">
        <v>20420291.41</v>
      </c>
      <c r="H121" s="35">
        <f t="shared" si="6"/>
        <v>20591971.41</v>
      </c>
    </row>
    <row r="122" spans="1:8">
      <c r="A122" s="6"/>
      <c r="B122" s="7"/>
      <c r="C122" s="8"/>
      <c r="D122" s="29">
        <v>307</v>
      </c>
      <c r="E122" s="30" t="s">
        <v>715</v>
      </c>
      <c r="F122" s="35">
        <v>10000</v>
      </c>
      <c r="G122" s="35"/>
      <c r="H122" s="35">
        <f t="shared" si="6"/>
        <v>10000</v>
      </c>
    </row>
    <row r="123" spans="1:8">
      <c r="A123" s="6"/>
      <c r="B123" s="7"/>
      <c r="C123" s="8"/>
      <c r="D123" s="29">
        <v>401</v>
      </c>
      <c r="E123" s="30" t="s">
        <v>717</v>
      </c>
      <c r="F123" s="35">
        <v>9112214.9199999999</v>
      </c>
      <c r="G123" s="35">
        <v>100000</v>
      </c>
      <c r="H123" s="35">
        <f t="shared" si="6"/>
        <v>9212214.9199999999</v>
      </c>
    </row>
    <row r="124" spans="1:8">
      <c r="A124" s="6"/>
      <c r="B124" s="7"/>
      <c r="C124" s="8"/>
      <c r="D124" s="29">
        <v>402</v>
      </c>
      <c r="E124" s="30" t="s">
        <v>721</v>
      </c>
      <c r="F124" s="35">
        <v>17535383.809999999</v>
      </c>
      <c r="G124" s="35">
        <v>1123000</v>
      </c>
      <c r="H124" s="35">
        <f t="shared" si="6"/>
        <v>18658383.809999999</v>
      </c>
    </row>
    <row r="125" spans="1:8">
      <c r="A125" s="6"/>
      <c r="B125" s="7"/>
      <c r="C125" s="8"/>
      <c r="D125" s="29">
        <v>512</v>
      </c>
      <c r="E125" s="30" t="s">
        <v>725</v>
      </c>
      <c r="F125" s="35">
        <v>779750</v>
      </c>
      <c r="G125" s="35">
        <v>779750</v>
      </c>
      <c r="H125" s="35">
        <f t="shared" si="6"/>
        <v>1559500</v>
      </c>
    </row>
    <row r="126" spans="1:8">
      <c r="A126" s="6"/>
      <c r="B126" s="7"/>
      <c r="C126" s="8"/>
      <c r="D126" s="29">
        <v>605</v>
      </c>
      <c r="E126" s="30" t="s">
        <v>727</v>
      </c>
      <c r="F126" s="35"/>
      <c r="G126" s="35">
        <v>1512690</v>
      </c>
      <c r="H126" s="35">
        <f t="shared" si="6"/>
        <v>1512690</v>
      </c>
    </row>
    <row r="127" spans="1:8">
      <c r="A127" s="6"/>
      <c r="B127" s="7"/>
      <c r="C127" s="8"/>
      <c r="D127" s="29">
        <v>610</v>
      </c>
      <c r="E127" s="30" t="s">
        <v>730</v>
      </c>
      <c r="F127" s="35"/>
      <c r="G127" s="35">
        <v>350000</v>
      </c>
      <c r="H127" s="35">
        <f t="shared" si="6"/>
        <v>350000</v>
      </c>
    </row>
    <row r="128" spans="1:8">
      <c r="A128" s="6"/>
      <c r="B128" s="7"/>
      <c r="C128" s="8"/>
      <c r="D128" s="29">
        <v>615</v>
      </c>
      <c r="E128" s="30" t="s">
        <v>733</v>
      </c>
      <c r="F128" s="35"/>
      <c r="G128" s="35">
        <v>329000</v>
      </c>
      <c r="H128" s="35">
        <f t="shared" si="6"/>
        <v>329000</v>
      </c>
    </row>
    <row r="129" spans="1:8">
      <c r="A129" s="6"/>
      <c r="B129" s="7"/>
      <c r="C129" s="8"/>
      <c r="D129" s="29">
        <v>622</v>
      </c>
      <c r="E129" s="30" t="s">
        <v>737</v>
      </c>
      <c r="F129" s="35"/>
      <c r="G129" s="35">
        <v>26000</v>
      </c>
      <c r="H129" s="35">
        <f t="shared" si="6"/>
        <v>26000</v>
      </c>
    </row>
    <row r="130" spans="1:8">
      <c r="A130" s="6"/>
      <c r="B130" s="7"/>
      <c r="C130" s="8"/>
      <c r="D130" s="29">
        <v>629</v>
      </c>
      <c r="E130" s="30" t="s">
        <v>742</v>
      </c>
      <c r="F130" s="35"/>
      <c r="G130" s="35">
        <v>1000</v>
      </c>
      <c r="H130" s="35">
        <f t="shared" si="6"/>
        <v>1000</v>
      </c>
    </row>
    <row r="131" spans="1:8">
      <c r="A131" s="6"/>
      <c r="B131" s="7"/>
      <c r="C131" s="8"/>
      <c r="D131" s="29"/>
      <c r="E131" s="30"/>
      <c r="F131" s="35"/>
      <c r="G131" s="35"/>
      <c r="H131" s="35"/>
    </row>
    <row r="132" spans="1:8" ht="6" customHeight="1">
      <c r="A132" s="6"/>
      <c r="B132" s="7"/>
      <c r="C132" s="8"/>
      <c r="D132" s="29"/>
      <c r="E132" s="30"/>
      <c r="F132" s="35"/>
      <c r="G132" s="35"/>
      <c r="H132" s="35"/>
    </row>
    <row r="133" spans="1:8" ht="45">
      <c r="A133" s="6">
        <v>29</v>
      </c>
      <c r="B133" s="16" t="s">
        <v>750</v>
      </c>
      <c r="C133" s="8" t="s">
        <v>756</v>
      </c>
      <c r="D133" s="29">
        <v>715307</v>
      </c>
      <c r="E133" s="30" t="s">
        <v>758</v>
      </c>
      <c r="F133" s="35">
        <v>20000</v>
      </c>
      <c r="G133" s="35"/>
      <c r="H133" s="35">
        <f t="shared" ref="H133:H144" si="7">F133+G133</f>
        <v>20000</v>
      </c>
    </row>
    <row r="134" spans="1:8">
      <c r="A134" s="6"/>
      <c r="B134" s="7"/>
      <c r="C134" s="8"/>
      <c r="D134" s="40">
        <v>720</v>
      </c>
      <c r="E134" s="30" t="s">
        <v>764</v>
      </c>
      <c r="F134" s="35">
        <v>250000</v>
      </c>
      <c r="G134" s="35">
        <v>52981029.25</v>
      </c>
      <c r="H134" s="35">
        <f t="shared" si="7"/>
        <v>53231029.25</v>
      </c>
    </row>
    <row r="135" spans="1:8">
      <c r="A135" s="6"/>
      <c r="B135" s="7"/>
      <c r="C135" s="8"/>
      <c r="D135" s="29">
        <v>720202</v>
      </c>
      <c r="E135" s="30" t="s">
        <v>768</v>
      </c>
      <c r="F135" s="35">
        <v>393000</v>
      </c>
      <c r="G135" s="35">
        <v>2530944.0499999998</v>
      </c>
      <c r="H135" s="35">
        <f t="shared" si="7"/>
        <v>2923944.05</v>
      </c>
    </row>
    <row r="136" spans="1:8">
      <c r="A136" s="6"/>
      <c r="B136" s="7"/>
      <c r="C136" s="8"/>
      <c r="D136" s="29">
        <v>720206</v>
      </c>
      <c r="E136" s="30" t="s">
        <v>770</v>
      </c>
      <c r="F136" s="35">
        <v>120000</v>
      </c>
      <c r="G136" s="35">
        <v>7986116.9199999999</v>
      </c>
      <c r="H136" s="35">
        <f t="shared" si="7"/>
        <v>8106116.9199999999</v>
      </c>
    </row>
    <row r="137" spans="1:8">
      <c r="A137" s="6"/>
      <c r="B137" s="7"/>
      <c r="C137" s="8"/>
      <c r="D137" s="29">
        <v>720215</v>
      </c>
      <c r="E137" s="30" t="s">
        <v>772</v>
      </c>
      <c r="F137" s="35">
        <v>25000</v>
      </c>
      <c r="G137" s="35">
        <v>1102200</v>
      </c>
      <c r="H137" s="35">
        <f t="shared" si="7"/>
        <v>1127200</v>
      </c>
    </row>
    <row r="138" spans="1:8">
      <c r="A138" s="6"/>
      <c r="B138" s="7"/>
      <c r="C138" s="8"/>
      <c r="D138" s="29">
        <v>720512</v>
      </c>
      <c r="E138" s="30" t="s">
        <v>773</v>
      </c>
      <c r="F138" s="35"/>
      <c r="G138" s="35">
        <v>1926123.13</v>
      </c>
      <c r="H138" s="35">
        <f t="shared" si="7"/>
        <v>1926123.13</v>
      </c>
    </row>
    <row r="139" spans="1:8">
      <c r="A139" s="6"/>
      <c r="B139" s="7"/>
      <c r="C139" s="8"/>
      <c r="D139" s="40">
        <v>732</v>
      </c>
      <c r="E139" s="30" t="s">
        <v>775</v>
      </c>
      <c r="F139" s="35">
        <v>550000</v>
      </c>
      <c r="G139" s="35">
        <v>5857686.7999999998</v>
      </c>
      <c r="H139" s="35">
        <f t="shared" si="7"/>
        <v>6407686.7999999998</v>
      </c>
    </row>
    <row r="140" spans="1:8" ht="22.5">
      <c r="A140" s="6"/>
      <c r="B140" s="7"/>
      <c r="C140" s="8"/>
      <c r="D140" s="40">
        <v>752</v>
      </c>
      <c r="E140" s="30" t="s">
        <v>777</v>
      </c>
      <c r="F140" s="35">
        <v>431382</v>
      </c>
      <c r="G140" s="35">
        <v>20641607.09</v>
      </c>
      <c r="H140" s="35">
        <f t="shared" si="7"/>
        <v>21072989.09</v>
      </c>
    </row>
    <row r="141" spans="1:8">
      <c r="A141" s="6"/>
      <c r="B141" s="7"/>
      <c r="C141" s="8"/>
      <c r="D141" s="40">
        <v>753</v>
      </c>
      <c r="E141" s="30" t="s">
        <v>779</v>
      </c>
      <c r="F141" s="35">
        <v>814943.31</v>
      </c>
      <c r="G141" s="35">
        <v>26954417</v>
      </c>
      <c r="H141" s="35">
        <f t="shared" si="7"/>
        <v>27769360.309999999</v>
      </c>
    </row>
    <row r="142" spans="1:8">
      <c r="A142" s="6"/>
      <c r="B142" s="7"/>
      <c r="C142" s="8"/>
      <c r="D142" s="29">
        <v>753401</v>
      </c>
      <c r="E142" s="30" t="s">
        <v>780</v>
      </c>
      <c r="F142" s="35">
        <v>9583908.6799999997</v>
      </c>
      <c r="G142" s="35">
        <v>151000</v>
      </c>
      <c r="H142" s="35">
        <f t="shared" si="7"/>
        <v>9734908.6799999997</v>
      </c>
    </row>
    <row r="143" spans="1:8">
      <c r="A143" s="6"/>
      <c r="B143" s="7"/>
      <c r="C143" s="8"/>
      <c r="D143" s="29">
        <v>753402</v>
      </c>
      <c r="E143" s="30" t="s">
        <v>781</v>
      </c>
      <c r="F143" s="35">
        <v>21089788.649999999</v>
      </c>
      <c r="G143" s="35">
        <v>1000000</v>
      </c>
      <c r="H143" s="35">
        <f t="shared" si="7"/>
        <v>22089788.649999999</v>
      </c>
    </row>
    <row r="144" spans="1:8">
      <c r="A144" s="6"/>
      <c r="B144" s="7"/>
      <c r="C144" s="8"/>
      <c r="D144" s="29">
        <v>761301</v>
      </c>
      <c r="E144" s="30" t="s">
        <v>782</v>
      </c>
      <c r="F144" s="35">
        <v>470000</v>
      </c>
      <c r="G144" s="35">
        <v>4466000</v>
      </c>
      <c r="H144" s="35">
        <f t="shared" si="7"/>
        <v>4936000</v>
      </c>
    </row>
    <row r="145" spans="1:8">
      <c r="A145" s="6"/>
      <c r="B145" s="7"/>
      <c r="C145" s="8"/>
      <c r="D145" s="39"/>
      <c r="E145" s="30"/>
      <c r="F145" s="35"/>
      <c r="G145" s="35"/>
      <c r="H145" s="35"/>
    </row>
    <row r="146" spans="1:8" ht="7.5" customHeight="1">
      <c r="A146" s="6"/>
      <c r="B146" s="7"/>
      <c r="C146" s="8"/>
      <c r="D146" s="39"/>
      <c r="E146" s="30"/>
      <c r="F146" s="35"/>
      <c r="G146" s="35"/>
      <c r="H146" s="35"/>
    </row>
    <row r="147" spans="1:8" ht="45">
      <c r="A147" s="6">
        <v>28</v>
      </c>
      <c r="B147" s="16" t="s">
        <v>783</v>
      </c>
      <c r="C147" s="8" t="s">
        <v>784</v>
      </c>
      <c r="D147" s="29">
        <v>715307</v>
      </c>
      <c r="E147" s="30" t="s">
        <v>758</v>
      </c>
      <c r="F147" s="35">
        <v>20000</v>
      </c>
      <c r="G147" s="35"/>
      <c r="H147" s="35">
        <f t="shared" ref="H147:H158" si="8">F147+G147</f>
        <v>20000</v>
      </c>
    </row>
    <row r="148" spans="1:8">
      <c r="A148" s="6"/>
      <c r="B148" s="7"/>
      <c r="C148" s="8"/>
      <c r="D148" s="40">
        <v>720</v>
      </c>
      <c r="E148" s="30" t="s">
        <v>764</v>
      </c>
      <c r="F148" s="35">
        <v>250000</v>
      </c>
      <c r="G148" s="35">
        <v>71804462.799999997</v>
      </c>
      <c r="H148" s="35">
        <f t="shared" si="8"/>
        <v>72054462.799999997</v>
      </c>
    </row>
    <row r="149" spans="1:8">
      <c r="A149" s="6"/>
      <c r="B149" s="7"/>
      <c r="C149" s="8"/>
      <c r="D149" s="29">
        <v>720202</v>
      </c>
      <c r="E149" s="30" t="s">
        <v>768</v>
      </c>
      <c r="F149" s="35">
        <v>500000</v>
      </c>
      <c r="G149" s="35">
        <v>3070944.05</v>
      </c>
      <c r="H149" s="35">
        <f t="shared" si="8"/>
        <v>3570944.05</v>
      </c>
    </row>
    <row r="150" spans="1:8">
      <c r="A150" s="6"/>
      <c r="B150" s="7"/>
      <c r="C150" s="8"/>
      <c r="D150" s="29">
        <v>720206</v>
      </c>
      <c r="E150" s="30" t="s">
        <v>770</v>
      </c>
      <c r="F150" s="35">
        <v>150000</v>
      </c>
      <c r="G150" s="35">
        <v>12034245.220000001</v>
      </c>
      <c r="H150" s="35">
        <f t="shared" si="8"/>
        <v>12184245.220000001</v>
      </c>
    </row>
    <row r="151" spans="1:8">
      <c r="A151" s="6"/>
      <c r="B151" s="7"/>
      <c r="C151" s="8"/>
      <c r="D151" s="29">
        <v>720215</v>
      </c>
      <c r="E151" s="30" t="s">
        <v>772</v>
      </c>
      <c r="F151" s="35">
        <v>30000</v>
      </c>
      <c r="G151" s="35">
        <v>2390000</v>
      </c>
      <c r="H151" s="35">
        <f t="shared" si="8"/>
        <v>2420000</v>
      </c>
    </row>
    <row r="152" spans="1:8">
      <c r="A152" s="6"/>
      <c r="B152" s="7"/>
      <c r="C152" s="8"/>
      <c r="D152" s="29">
        <v>720512</v>
      </c>
      <c r="E152" s="30" t="s">
        <v>773</v>
      </c>
      <c r="F152" s="35"/>
      <c r="G152" s="35">
        <v>1141123.1299999999</v>
      </c>
      <c r="H152" s="35">
        <f t="shared" si="8"/>
        <v>1141123.1299999999</v>
      </c>
    </row>
    <row r="153" spans="1:8">
      <c r="A153" s="6"/>
      <c r="B153" s="7"/>
      <c r="C153" s="8"/>
      <c r="D153" s="40">
        <v>732</v>
      </c>
      <c r="E153" s="30" t="s">
        <v>775</v>
      </c>
      <c r="F153" s="35">
        <v>400000</v>
      </c>
      <c r="G153" s="35">
        <v>10770428.390000001</v>
      </c>
      <c r="H153" s="35">
        <f t="shared" si="8"/>
        <v>11170428.390000001</v>
      </c>
    </row>
    <row r="154" spans="1:8" ht="22.5">
      <c r="A154" s="6"/>
      <c r="B154" s="7"/>
      <c r="C154" s="8"/>
      <c r="D154" s="40">
        <v>752</v>
      </c>
      <c r="E154" s="30" t="s">
        <v>777</v>
      </c>
      <c r="F154" s="35">
        <v>800000</v>
      </c>
      <c r="G154" s="35">
        <v>1131608.0900000001</v>
      </c>
      <c r="H154" s="35">
        <f t="shared" si="8"/>
        <v>1931608.09</v>
      </c>
    </row>
    <row r="155" spans="1:8">
      <c r="A155" s="6"/>
      <c r="B155" s="7"/>
      <c r="C155" s="8"/>
      <c r="D155" s="40">
        <v>753</v>
      </c>
      <c r="E155" s="30" t="s">
        <v>779</v>
      </c>
      <c r="F155" s="35">
        <v>1100000</v>
      </c>
      <c r="G155" s="35">
        <v>28416021.789999999</v>
      </c>
      <c r="H155" s="35">
        <f t="shared" si="8"/>
        <v>29516021.789999999</v>
      </c>
    </row>
    <row r="156" spans="1:8">
      <c r="A156" s="6"/>
      <c r="B156" s="7"/>
      <c r="C156" s="8"/>
      <c r="D156" s="29">
        <v>753401</v>
      </c>
      <c r="E156" s="30" t="s">
        <v>780</v>
      </c>
      <c r="F156" s="35">
        <v>12055443.939999999</v>
      </c>
      <c r="G156" s="35">
        <v>243000</v>
      </c>
      <c r="H156" s="35">
        <f t="shared" si="8"/>
        <v>12298443.939999999</v>
      </c>
    </row>
    <row r="157" spans="1:8">
      <c r="A157" s="6"/>
      <c r="B157" s="7"/>
      <c r="C157" s="8"/>
      <c r="D157" s="29">
        <v>753402</v>
      </c>
      <c r="E157" s="30" t="s">
        <v>781</v>
      </c>
      <c r="F157" s="35">
        <v>24853891.649999999</v>
      </c>
      <c r="G157" s="35">
        <v>2285794.4</v>
      </c>
      <c r="H157" s="35">
        <f t="shared" si="8"/>
        <v>27139686.049999997</v>
      </c>
    </row>
    <row r="158" spans="1:8">
      <c r="A158" s="6"/>
      <c r="B158" s="7"/>
      <c r="C158" s="8"/>
      <c r="D158" s="29">
        <v>761301</v>
      </c>
      <c r="E158" s="30" t="s">
        <v>782</v>
      </c>
      <c r="F158" s="35">
        <v>800000</v>
      </c>
      <c r="G158" s="35">
        <v>16222265.369999999</v>
      </c>
      <c r="H158" s="35">
        <f t="shared" si="8"/>
        <v>17022265.369999997</v>
      </c>
    </row>
    <row r="159" spans="1:8" ht="15" customHeight="1">
      <c r="A159" s="6"/>
      <c r="B159" s="7"/>
      <c r="C159" s="8"/>
      <c r="D159" s="29"/>
      <c r="E159" s="30"/>
      <c r="F159" s="35"/>
      <c r="G159" s="35"/>
      <c r="H159" s="35"/>
    </row>
    <row r="160" spans="1:8" ht="7.5" customHeight="1">
      <c r="A160" s="6"/>
      <c r="B160" s="7"/>
      <c r="C160" s="8"/>
      <c r="D160" s="29"/>
      <c r="E160" s="30"/>
      <c r="F160" s="35"/>
      <c r="G160" s="35"/>
      <c r="H160" s="35"/>
    </row>
    <row r="161" spans="1:8" ht="45">
      <c r="A161" s="6">
        <v>27</v>
      </c>
      <c r="B161" s="16" t="s">
        <v>785</v>
      </c>
      <c r="C161" s="8" t="s">
        <v>786</v>
      </c>
      <c r="D161" s="29">
        <v>715307</v>
      </c>
      <c r="E161" s="30" t="s">
        <v>758</v>
      </c>
      <c r="F161" s="35">
        <v>20000</v>
      </c>
      <c r="G161" s="35"/>
      <c r="H161" s="35">
        <f t="shared" ref="H161:H172" si="9">F161+G161</f>
        <v>20000</v>
      </c>
    </row>
    <row r="162" spans="1:8">
      <c r="A162" s="6"/>
      <c r="B162" s="7"/>
      <c r="C162" s="8"/>
      <c r="D162" s="40">
        <v>720</v>
      </c>
      <c r="E162" s="30" t="s">
        <v>764</v>
      </c>
      <c r="F162" s="35">
        <v>250000</v>
      </c>
      <c r="G162" s="35">
        <v>40922758.259999998</v>
      </c>
      <c r="H162" s="35">
        <f t="shared" si="9"/>
        <v>41172758.259999998</v>
      </c>
    </row>
    <row r="163" spans="1:8">
      <c r="A163" s="6"/>
      <c r="B163" s="7"/>
      <c r="C163" s="8"/>
      <c r="D163" s="29">
        <v>720202</v>
      </c>
      <c r="E163" s="30" t="s">
        <v>768</v>
      </c>
      <c r="F163" s="35">
        <v>500000</v>
      </c>
      <c r="G163" s="35">
        <v>2708944.05</v>
      </c>
      <c r="H163" s="35">
        <f t="shared" si="9"/>
        <v>3208944.05</v>
      </c>
    </row>
    <row r="164" spans="1:8">
      <c r="A164" s="6"/>
      <c r="B164" s="7"/>
      <c r="C164" s="8"/>
      <c r="D164" s="29">
        <v>720206</v>
      </c>
      <c r="E164" s="30" t="s">
        <v>770</v>
      </c>
      <c r="F164" s="35">
        <v>150000</v>
      </c>
      <c r="G164" s="35">
        <v>8637002</v>
      </c>
      <c r="H164" s="35">
        <f t="shared" si="9"/>
        <v>8787002</v>
      </c>
    </row>
    <row r="165" spans="1:8">
      <c r="A165" s="6"/>
      <c r="B165" s="7"/>
      <c r="C165" s="8"/>
      <c r="D165" s="29">
        <v>720215</v>
      </c>
      <c r="E165" s="30" t="s">
        <v>772</v>
      </c>
      <c r="F165" s="35">
        <v>30000</v>
      </c>
      <c r="G165" s="35">
        <v>2390000</v>
      </c>
      <c r="H165" s="35">
        <f t="shared" si="9"/>
        <v>2420000</v>
      </c>
    </row>
    <row r="166" spans="1:8">
      <c r="A166" s="6"/>
      <c r="B166" s="7"/>
      <c r="C166" s="8"/>
      <c r="D166" s="29">
        <v>720512</v>
      </c>
      <c r="E166" s="30" t="s">
        <v>773</v>
      </c>
      <c r="F166" s="35"/>
      <c r="G166" s="35">
        <v>1141123.1299999999</v>
      </c>
      <c r="H166" s="35">
        <f t="shared" si="9"/>
        <v>1141123.1299999999</v>
      </c>
    </row>
    <row r="167" spans="1:8">
      <c r="A167" s="6"/>
      <c r="B167" s="7"/>
      <c r="C167" s="8"/>
      <c r="D167" s="40">
        <v>732</v>
      </c>
      <c r="E167" s="30" t="s">
        <v>775</v>
      </c>
      <c r="F167" s="35">
        <v>400000</v>
      </c>
      <c r="G167" s="35">
        <v>8848217.4199999999</v>
      </c>
      <c r="H167" s="35">
        <f t="shared" si="9"/>
        <v>9248217.4199999999</v>
      </c>
    </row>
    <row r="168" spans="1:8" ht="22.5">
      <c r="A168" s="6"/>
      <c r="B168" s="7"/>
      <c r="C168" s="8"/>
      <c r="D168" s="40">
        <v>752</v>
      </c>
      <c r="E168" s="30" t="s">
        <v>777</v>
      </c>
      <c r="F168" s="35">
        <v>800000</v>
      </c>
      <c r="G168" s="35">
        <v>17347815</v>
      </c>
      <c r="H168" s="35">
        <f t="shared" si="9"/>
        <v>18147815</v>
      </c>
    </row>
    <row r="169" spans="1:8">
      <c r="A169" s="6"/>
      <c r="B169" s="7"/>
      <c r="C169" s="8"/>
      <c r="D169" s="40">
        <v>753</v>
      </c>
      <c r="E169" s="30" t="s">
        <v>779</v>
      </c>
      <c r="F169" s="35">
        <v>1100000</v>
      </c>
      <c r="G169" s="35">
        <v>43771381.770000003</v>
      </c>
      <c r="H169" s="35">
        <f t="shared" si="9"/>
        <v>44871381.770000003</v>
      </c>
    </row>
    <row r="170" spans="1:8">
      <c r="A170" s="6"/>
      <c r="B170" s="7"/>
      <c r="C170" s="8"/>
      <c r="D170" s="29">
        <v>753401</v>
      </c>
      <c r="E170" s="30" t="s">
        <v>780</v>
      </c>
      <c r="F170" s="35">
        <v>11866651.5</v>
      </c>
      <c r="G170" s="35">
        <v>178000</v>
      </c>
      <c r="H170" s="35">
        <f t="shared" si="9"/>
        <v>12044651.5</v>
      </c>
    </row>
    <row r="171" spans="1:8">
      <c r="A171" s="6"/>
      <c r="B171" s="7"/>
      <c r="C171" s="8"/>
      <c r="D171" s="29">
        <v>753402</v>
      </c>
      <c r="E171" s="30" t="s">
        <v>781</v>
      </c>
      <c r="F171" s="35">
        <v>23762617.16</v>
      </c>
      <c r="G171" s="35">
        <v>10000000</v>
      </c>
      <c r="H171" s="35">
        <f t="shared" si="9"/>
        <v>33762617.159999996</v>
      </c>
    </row>
    <row r="172" spans="1:8">
      <c r="A172" s="6"/>
      <c r="B172" s="7"/>
      <c r="C172" s="8"/>
      <c r="D172" s="29">
        <v>761301</v>
      </c>
      <c r="E172" s="30" t="s">
        <v>782</v>
      </c>
      <c r="F172" s="35">
        <v>800000</v>
      </c>
      <c r="G172" s="35">
        <v>22586265.370000001</v>
      </c>
      <c r="H172" s="35">
        <f t="shared" si="9"/>
        <v>23386265.370000001</v>
      </c>
    </row>
    <row r="173" spans="1:8">
      <c r="A173" s="6"/>
      <c r="B173" s="7"/>
      <c r="C173" s="8"/>
      <c r="D173" s="40"/>
      <c r="E173" s="30"/>
      <c r="F173" s="35"/>
      <c r="G173" s="35"/>
      <c r="H173" s="35"/>
    </row>
    <row r="174" spans="1:8" ht="6" customHeight="1">
      <c r="A174" s="6"/>
      <c r="B174" s="7"/>
      <c r="C174" s="8"/>
      <c r="D174" s="40"/>
      <c r="E174" s="30"/>
      <c r="F174" s="35"/>
      <c r="G174" s="35"/>
      <c r="H174" s="35"/>
    </row>
    <row r="175" spans="1:8" ht="45">
      <c r="A175" s="6">
        <v>26</v>
      </c>
      <c r="B175" s="16" t="s">
        <v>787</v>
      </c>
      <c r="C175" s="8" t="s">
        <v>788</v>
      </c>
      <c r="D175" s="40">
        <v>720</v>
      </c>
      <c r="E175" s="30" t="s">
        <v>692</v>
      </c>
      <c r="F175" s="35">
        <v>840000</v>
      </c>
      <c r="G175" s="35">
        <v>64223687.030000001</v>
      </c>
      <c r="H175" s="35">
        <f t="shared" ref="H175:H186" si="10">F175+G175</f>
        <v>65063687.030000001</v>
      </c>
    </row>
    <row r="176" spans="1:8">
      <c r="A176" s="6"/>
      <c r="B176" s="7"/>
      <c r="C176" s="8"/>
      <c r="D176" s="29">
        <v>720202</v>
      </c>
      <c r="E176" s="30" t="s">
        <v>789</v>
      </c>
      <c r="F176" s="35">
        <v>1320000</v>
      </c>
      <c r="G176" s="35">
        <v>3890000</v>
      </c>
      <c r="H176" s="35">
        <f t="shared" si="10"/>
        <v>5210000</v>
      </c>
    </row>
    <row r="177" spans="1:9">
      <c r="A177" s="6"/>
      <c r="B177" s="7"/>
      <c r="C177" s="8"/>
      <c r="D177" s="29">
        <v>720206</v>
      </c>
      <c r="E177" s="30" t="s">
        <v>770</v>
      </c>
      <c r="F177" s="35">
        <v>240000</v>
      </c>
      <c r="G177" s="35">
        <v>11257125.199999999</v>
      </c>
      <c r="H177" s="35">
        <f t="shared" si="10"/>
        <v>11497125.199999999</v>
      </c>
    </row>
    <row r="178" spans="1:9">
      <c r="A178" s="6"/>
      <c r="B178" s="7"/>
      <c r="C178" s="8"/>
      <c r="D178" s="29">
        <v>720215</v>
      </c>
      <c r="E178" s="30" t="s">
        <v>772</v>
      </c>
      <c r="F178" s="35">
        <v>360000</v>
      </c>
      <c r="G178" s="35">
        <v>2000000</v>
      </c>
      <c r="H178" s="35">
        <f t="shared" si="10"/>
        <v>2360000</v>
      </c>
    </row>
    <row r="179" spans="1:9">
      <c r="A179" s="6"/>
      <c r="B179" s="7"/>
      <c r="C179" s="8"/>
      <c r="D179" s="29">
        <v>720512</v>
      </c>
      <c r="E179" s="30" t="s">
        <v>773</v>
      </c>
      <c r="F179" s="35"/>
      <c r="G179" s="35">
        <v>100000</v>
      </c>
      <c r="H179" s="35">
        <f t="shared" si="10"/>
        <v>100000</v>
      </c>
    </row>
    <row r="180" spans="1:9">
      <c r="A180" s="6"/>
      <c r="B180" s="7"/>
      <c r="C180" s="8"/>
      <c r="D180" s="40">
        <v>732</v>
      </c>
      <c r="E180" s="30" t="s">
        <v>775</v>
      </c>
      <c r="F180" s="35">
        <v>552000</v>
      </c>
      <c r="G180" s="35">
        <v>17960001</v>
      </c>
      <c r="H180" s="35">
        <f t="shared" si="10"/>
        <v>18512001</v>
      </c>
    </row>
    <row r="181" spans="1:9" ht="22.5">
      <c r="A181" s="6"/>
      <c r="B181" s="7"/>
      <c r="C181" s="8"/>
      <c r="D181" s="40">
        <v>752</v>
      </c>
      <c r="E181" s="30" t="s">
        <v>777</v>
      </c>
      <c r="F181" s="35">
        <v>2159996</v>
      </c>
      <c r="G181" s="35">
        <v>8002526</v>
      </c>
      <c r="H181" s="35">
        <f t="shared" si="10"/>
        <v>10162522</v>
      </c>
    </row>
    <row r="182" spans="1:9">
      <c r="A182" s="6"/>
      <c r="B182" s="7"/>
      <c r="C182" s="8"/>
      <c r="D182" s="29">
        <v>752307</v>
      </c>
      <c r="E182" s="30" t="s">
        <v>790</v>
      </c>
      <c r="F182" s="35">
        <v>36000</v>
      </c>
      <c r="G182" s="35"/>
      <c r="H182" s="35">
        <f t="shared" si="10"/>
        <v>36000</v>
      </c>
    </row>
    <row r="183" spans="1:9">
      <c r="A183" s="6"/>
      <c r="B183" s="7"/>
      <c r="C183" s="8"/>
      <c r="D183" s="40">
        <v>753</v>
      </c>
      <c r="E183" s="30" t="s">
        <v>779</v>
      </c>
      <c r="F183" s="35">
        <v>2899000</v>
      </c>
      <c r="G183" s="35">
        <v>57171334.890000001</v>
      </c>
      <c r="H183" s="35">
        <f t="shared" si="10"/>
        <v>60070334.890000001</v>
      </c>
    </row>
    <row r="184" spans="1:9">
      <c r="A184" s="6"/>
      <c r="B184" s="7"/>
      <c r="C184" s="8"/>
      <c r="D184" s="29">
        <v>753401</v>
      </c>
      <c r="E184" s="30" t="s">
        <v>780</v>
      </c>
      <c r="F184" s="35">
        <v>9462610.6899999995</v>
      </c>
      <c r="G184" s="35">
        <v>177000</v>
      </c>
      <c r="H184" s="35">
        <f t="shared" si="10"/>
        <v>9639610.6899999995</v>
      </c>
    </row>
    <row r="185" spans="1:9">
      <c r="A185" s="6"/>
      <c r="B185" s="7"/>
      <c r="C185" s="8"/>
      <c r="D185" s="29">
        <v>753402</v>
      </c>
      <c r="E185" s="30" t="s">
        <v>781</v>
      </c>
      <c r="F185" s="35">
        <v>15795000</v>
      </c>
      <c r="G185" s="35">
        <v>10825000</v>
      </c>
      <c r="H185" s="35">
        <f t="shared" si="10"/>
        <v>26620000</v>
      </c>
    </row>
    <row r="186" spans="1:9">
      <c r="A186" s="6"/>
      <c r="B186" s="7"/>
      <c r="C186" s="8"/>
      <c r="D186" s="29">
        <v>761301</v>
      </c>
      <c r="E186" s="30" t="s">
        <v>782</v>
      </c>
      <c r="F186" s="35">
        <v>1080000</v>
      </c>
      <c r="G186" s="35">
        <v>26460800</v>
      </c>
      <c r="H186" s="35">
        <f t="shared" si="10"/>
        <v>27540800</v>
      </c>
    </row>
    <row r="187" spans="1:9" ht="6" customHeight="1">
      <c r="A187" s="6"/>
      <c r="B187" s="7"/>
      <c r="C187" s="8"/>
      <c r="D187" s="40"/>
      <c r="E187" s="30"/>
      <c r="F187" s="35"/>
      <c r="G187" s="35"/>
      <c r="H187" s="35"/>
    </row>
    <row r="188" spans="1:9" ht="45">
      <c r="A188" s="6">
        <v>25</v>
      </c>
      <c r="B188" s="16" t="s">
        <v>791</v>
      </c>
      <c r="C188" s="8" t="s">
        <v>792</v>
      </c>
      <c r="D188" s="40">
        <v>720</v>
      </c>
      <c r="E188" s="30" t="s">
        <v>692</v>
      </c>
      <c r="F188" s="35">
        <v>840000</v>
      </c>
      <c r="G188" s="35">
        <v>10999728.77</v>
      </c>
      <c r="H188" s="35">
        <f t="shared" ref="H188:H198" si="11">F188+G188</f>
        <v>11839728.77</v>
      </c>
    </row>
    <row r="189" spans="1:9">
      <c r="A189" s="6"/>
      <c r="B189" s="7"/>
      <c r="C189" s="8"/>
      <c r="D189" s="29">
        <v>720202</v>
      </c>
      <c r="E189" s="30" t="s">
        <v>789</v>
      </c>
      <c r="F189" s="35">
        <v>1320000</v>
      </c>
      <c r="G189" s="42">
        <v>2000000</v>
      </c>
      <c r="H189" s="35">
        <f t="shared" si="11"/>
        <v>3320000</v>
      </c>
      <c r="I189" s="43"/>
    </row>
    <row r="190" spans="1:9">
      <c r="A190" s="6"/>
      <c r="B190" s="7"/>
      <c r="C190" s="8"/>
      <c r="D190" s="29">
        <v>720206</v>
      </c>
      <c r="E190" s="30" t="s">
        <v>770</v>
      </c>
      <c r="F190" s="35">
        <v>240000</v>
      </c>
      <c r="G190" s="42">
        <v>9618925.1999999993</v>
      </c>
      <c r="H190" s="35">
        <f t="shared" si="11"/>
        <v>9858925.1999999993</v>
      </c>
      <c r="I190" s="43"/>
    </row>
    <row r="191" spans="1:9">
      <c r="A191" s="6"/>
      <c r="B191" s="7"/>
      <c r="C191" s="8"/>
      <c r="D191" s="40">
        <v>732</v>
      </c>
      <c r="E191" s="30" t="s">
        <v>793</v>
      </c>
      <c r="F191" s="35">
        <v>552000</v>
      </c>
      <c r="G191" s="42">
        <v>15077065.59</v>
      </c>
      <c r="H191" s="35">
        <f t="shared" si="11"/>
        <v>15629065.59</v>
      </c>
      <c r="I191" s="43"/>
    </row>
    <row r="192" spans="1:9" ht="22.5">
      <c r="A192" s="6"/>
      <c r="B192" s="7"/>
      <c r="C192" s="8"/>
      <c r="D192" s="40">
        <v>752</v>
      </c>
      <c r="E192" s="30" t="s">
        <v>777</v>
      </c>
      <c r="F192" s="35">
        <v>2160000</v>
      </c>
      <c r="G192" s="42">
        <v>29599165.34</v>
      </c>
      <c r="H192" s="35">
        <f t="shared" si="11"/>
        <v>31759165.34</v>
      </c>
      <c r="I192" s="43"/>
    </row>
    <row r="193" spans="1:9">
      <c r="A193" s="6"/>
      <c r="B193" s="7"/>
      <c r="C193" s="8"/>
      <c r="D193" s="29">
        <v>752307</v>
      </c>
      <c r="E193" s="30" t="s">
        <v>790</v>
      </c>
      <c r="F193" s="35">
        <v>36000</v>
      </c>
      <c r="G193" s="42"/>
      <c r="H193" s="35">
        <f t="shared" si="11"/>
        <v>36000</v>
      </c>
      <c r="I193" s="43"/>
    </row>
    <row r="194" spans="1:9">
      <c r="A194" s="6"/>
      <c r="B194" s="7"/>
      <c r="C194" s="8"/>
      <c r="D194" s="40">
        <v>753</v>
      </c>
      <c r="E194" s="30" t="s">
        <v>779</v>
      </c>
      <c r="F194" s="35">
        <v>2880000</v>
      </c>
      <c r="G194" s="42">
        <v>35273477.619999997</v>
      </c>
      <c r="H194" s="35">
        <f t="shared" si="11"/>
        <v>38153477.619999997</v>
      </c>
      <c r="I194" s="43"/>
    </row>
    <row r="195" spans="1:9">
      <c r="A195" s="6"/>
      <c r="B195" s="7"/>
      <c r="C195" s="8"/>
      <c r="D195" s="29">
        <v>753401</v>
      </c>
      <c r="E195" s="30" t="s">
        <v>780</v>
      </c>
      <c r="F195" s="35">
        <v>8513611.6899999995</v>
      </c>
      <c r="G195" s="42">
        <v>3800000</v>
      </c>
      <c r="H195" s="35">
        <f t="shared" si="11"/>
        <v>12313611.689999999</v>
      </c>
      <c r="I195" s="43"/>
    </row>
    <row r="196" spans="1:9">
      <c r="A196" s="6"/>
      <c r="B196" s="7"/>
      <c r="C196" s="8"/>
      <c r="D196" s="29">
        <v>753402</v>
      </c>
      <c r="E196" s="30" t="s">
        <v>781</v>
      </c>
      <c r="F196" s="35">
        <v>15075001</v>
      </c>
      <c r="G196" s="42">
        <v>10825000</v>
      </c>
      <c r="H196" s="35">
        <f t="shared" si="11"/>
        <v>25900001</v>
      </c>
      <c r="I196" s="43"/>
    </row>
    <row r="197" spans="1:9">
      <c r="A197" s="6"/>
      <c r="B197" s="7"/>
      <c r="C197" s="8"/>
      <c r="D197" s="29">
        <v>761215</v>
      </c>
      <c r="E197" s="30" t="s">
        <v>794</v>
      </c>
      <c r="F197" s="35">
        <v>360000</v>
      </c>
      <c r="G197" s="42">
        <v>2000000</v>
      </c>
      <c r="H197" s="35">
        <f t="shared" si="11"/>
        <v>2360000</v>
      </c>
      <c r="I197" s="43"/>
    </row>
    <row r="198" spans="1:9">
      <c r="A198" s="6"/>
      <c r="B198" s="7"/>
      <c r="C198" s="8"/>
      <c r="D198" s="29">
        <v>761301</v>
      </c>
      <c r="E198" s="30" t="s">
        <v>782</v>
      </c>
      <c r="F198" s="35">
        <v>1080000</v>
      </c>
      <c r="G198" s="42">
        <v>12759837.5</v>
      </c>
      <c r="H198" s="35">
        <f t="shared" si="11"/>
        <v>13839837.5</v>
      </c>
      <c r="I198" s="43"/>
    </row>
    <row r="199" spans="1:9" ht="6" customHeight="1">
      <c r="A199" s="6"/>
      <c r="B199" s="7"/>
      <c r="C199" s="8"/>
      <c r="D199" s="40"/>
      <c r="E199" s="30"/>
      <c r="F199" s="35"/>
      <c r="G199" s="42"/>
      <c r="H199" s="35"/>
      <c r="I199" s="43"/>
    </row>
    <row r="200" spans="1:9" ht="45">
      <c r="A200" s="6">
        <v>24</v>
      </c>
      <c r="B200" s="16" t="s">
        <v>795</v>
      </c>
      <c r="C200" s="8" t="s">
        <v>796</v>
      </c>
      <c r="D200" s="40">
        <v>720</v>
      </c>
      <c r="E200" s="30" t="s">
        <v>692</v>
      </c>
      <c r="F200" s="35">
        <v>808200</v>
      </c>
      <c r="G200" s="42">
        <v>2513836.14</v>
      </c>
      <c r="H200" s="35">
        <f t="shared" ref="H200:H210" si="12">F200+G200</f>
        <v>3322036.14</v>
      </c>
      <c r="I200" s="43"/>
    </row>
    <row r="201" spans="1:9">
      <c r="A201" s="6"/>
      <c r="B201" s="7"/>
      <c r="C201" s="8"/>
      <c r="D201" s="29">
        <v>720202</v>
      </c>
      <c r="E201" s="30" t="s">
        <v>789</v>
      </c>
      <c r="F201" s="35">
        <v>1209974.8799999999</v>
      </c>
      <c r="G201" s="35">
        <v>3696890.31</v>
      </c>
      <c r="H201" s="35">
        <f t="shared" si="12"/>
        <v>4906865.1899999995</v>
      </c>
    </row>
    <row r="202" spans="1:9">
      <c r="A202" s="6"/>
      <c r="B202" s="7"/>
      <c r="C202" s="8"/>
      <c r="D202" s="29">
        <v>720206</v>
      </c>
      <c r="E202" s="30" t="s">
        <v>770</v>
      </c>
      <c r="F202" s="44">
        <v>120000</v>
      </c>
      <c r="G202" s="43">
        <v>7320000</v>
      </c>
      <c r="H202" s="35">
        <f t="shared" si="12"/>
        <v>7440000</v>
      </c>
      <c r="I202" s="43"/>
    </row>
    <row r="203" spans="1:9">
      <c r="A203" s="6"/>
      <c r="B203" s="7"/>
      <c r="C203" s="8"/>
      <c r="D203" s="40">
        <v>732</v>
      </c>
      <c r="E203" s="30" t="s">
        <v>793</v>
      </c>
      <c r="F203" s="35">
        <v>552000</v>
      </c>
      <c r="G203" s="35">
        <v>17686300.449999999</v>
      </c>
      <c r="H203" s="35">
        <f t="shared" si="12"/>
        <v>18238300.449999999</v>
      </c>
    </row>
    <row r="204" spans="1:9" ht="22.5">
      <c r="A204" s="6"/>
      <c r="B204" s="7"/>
      <c r="C204" s="8"/>
      <c r="D204" s="40">
        <v>752</v>
      </c>
      <c r="E204" s="30" t="s">
        <v>777</v>
      </c>
      <c r="F204" s="35">
        <v>2399995</v>
      </c>
      <c r="G204" s="43">
        <v>50936400.770000003</v>
      </c>
      <c r="H204" s="35">
        <f t="shared" si="12"/>
        <v>53336395.770000003</v>
      </c>
      <c r="I204" s="43"/>
    </row>
    <row r="205" spans="1:9">
      <c r="A205" s="6"/>
      <c r="B205" s="7"/>
      <c r="C205" s="8"/>
      <c r="D205" s="29">
        <v>752307</v>
      </c>
      <c r="E205" s="30" t="s">
        <v>797</v>
      </c>
      <c r="F205" s="35">
        <v>54000</v>
      </c>
      <c r="G205" s="35"/>
      <c r="H205" s="35">
        <f t="shared" si="12"/>
        <v>54000</v>
      </c>
    </row>
    <row r="206" spans="1:9">
      <c r="A206" s="6"/>
      <c r="B206" s="7"/>
      <c r="C206" s="8"/>
      <c r="D206" s="29">
        <v>753</v>
      </c>
      <c r="E206" s="30" t="s">
        <v>779</v>
      </c>
      <c r="F206" s="35">
        <v>3835999.84</v>
      </c>
      <c r="G206" s="43">
        <v>25844191.120000001</v>
      </c>
      <c r="H206" s="35">
        <f t="shared" si="12"/>
        <v>29680190.960000001</v>
      </c>
      <c r="I206" s="43"/>
    </row>
    <row r="207" spans="1:9">
      <c r="A207" s="6"/>
      <c r="B207" s="7"/>
      <c r="C207" s="8"/>
      <c r="D207" s="29">
        <v>753401</v>
      </c>
      <c r="E207" s="30" t="s">
        <v>780</v>
      </c>
      <c r="F207" s="35">
        <v>8512824.0199999996</v>
      </c>
      <c r="G207" s="35">
        <v>300000</v>
      </c>
      <c r="H207" s="35">
        <f t="shared" si="12"/>
        <v>8812824.0199999996</v>
      </c>
    </row>
    <row r="208" spans="1:9">
      <c r="A208" s="6"/>
      <c r="B208" s="7"/>
      <c r="C208" s="8"/>
      <c r="D208" s="29">
        <v>753402</v>
      </c>
      <c r="E208" s="30" t="s">
        <v>781</v>
      </c>
      <c r="F208" s="35">
        <v>15074282.960000001</v>
      </c>
      <c r="G208" s="35">
        <v>10825598.82</v>
      </c>
      <c r="H208" s="35">
        <f t="shared" si="12"/>
        <v>25899881.780000001</v>
      </c>
    </row>
    <row r="209" spans="1:8">
      <c r="A209" s="6"/>
      <c r="B209" s="7"/>
      <c r="C209" s="8"/>
      <c r="D209" s="29">
        <v>761215</v>
      </c>
      <c r="E209" s="30" t="s">
        <v>794</v>
      </c>
      <c r="F209" s="35">
        <v>360000</v>
      </c>
      <c r="G209" s="35">
        <v>1000000</v>
      </c>
      <c r="H209" s="35">
        <f t="shared" si="12"/>
        <v>1360000</v>
      </c>
    </row>
    <row r="210" spans="1:8">
      <c r="A210" s="6"/>
      <c r="B210" s="7"/>
      <c r="C210" s="8"/>
      <c r="D210" s="29">
        <v>761301</v>
      </c>
      <c r="E210" s="30" t="s">
        <v>782</v>
      </c>
      <c r="F210" s="35">
        <v>963000</v>
      </c>
      <c r="G210" s="35">
        <v>12907000</v>
      </c>
      <c r="H210" s="35">
        <f t="shared" si="12"/>
        <v>13870000</v>
      </c>
    </row>
    <row r="211" spans="1:8">
      <c r="A211" s="6"/>
      <c r="B211" s="7"/>
      <c r="C211" s="8"/>
      <c r="D211" s="29"/>
      <c r="E211" s="30"/>
      <c r="F211" s="35"/>
      <c r="G211" s="35"/>
      <c r="H211" s="35"/>
    </row>
    <row r="212" spans="1:8" ht="6" customHeight="1">
      <c r="A212" s="6"/>
      <c r="B212" s="7"/>
      <c r="C212" s="8"/>
      <c r="D212" s="29"/>
      <c r="E212" s="30"/>
      <c r="F212" s="35"/>
      <c r="G212" s="35"/>
      <c r="H212" s="35"/>
    </row>
    <row r="213" spans="1:8" ht="45">
      <c r="A213" s="6">
        <v>23</v>
      </c>
      <c r="B213" s="16" t="s">
        <v>798</v>
      </c>
      <c r="C213" s="8" t="s">
        <v>799</v>
      </c>
      <c r="D213" s="29">
        <v>715307</v>
      </c>
      <c r="E213" s="30" t="s">
        <v>790</v>
      </c>
      <c r="F213" s="35">
        <v>54000</v>
      </c>
      <c r="G213" s="35">
        <v>1</v>
      </c>
      <c r="H213" s="35">
        <f t="shared" ref="H213:H223" si="13">F213+G213</f>
        <v>54001</v>
      </c>
    </row>
    <row r="214" spans="1:8" ht="15.75" customHeight="1">
      <c r="A214" s="6"/>
      <c r="B214" s="7"/>
      <c r="C214" s="8"/>
      <c r="D214" s="40">
        <v>720</v>
      </c>
      <c r="E214" s="30" t="s">
        <v>692</v>
      </c>
      <c r="F214" s="35">
        <v>808200</v>
      </c>
      <c r="G214" s="35">
        <v>18077184.539999999</v>
      </c>
      <c r="H214" s="35">
        <f t="shared" si="13"/>
        <v>18885384.539999999</v>
      </c>
    </row>
    <row r="215" spans="1:8" ht="15.75" customHeight="1">
      <c r="A215" s="6"/>
      <c r="B215" s="7"/>
      <c r="C215" s="8"/>
      <c r="D215" s="29">
        <v>720202</v>
      </c>
      <c r="E215" s="30" t="s">
        <v>789</v>
      </c>
      <c r="F215" s="35">
        <v>1209974.8799999999</v>
      </c>
      <c r="G215" s="35">
        <v>2510000</v>
      </c>
      <c r="H215" s="35">
        <f t="shared" si="13"/>
        <v>3719974.88</v>
      </c>
    </row>
    <row r="216" spans="1:8" ht="15.75" customHeight="1">
      <c r="A216" s="6"/>
      <c r="B216" s="7"/>
      <c r="C216" s="8"/>
      <c r="D216" s="29">
        <v>720206</v>
      </c>
      <c r="E216" s="30" t="s">
        <v>770</v>
      </c>
      <c r="F216" s="35">
        <v>120000</v>
      </c>
      <c r="G216" s="35">
        <v>15452465.199999999</v>
      </c>
      <c r="H216" s="35">
        <f t="shared" si="13"/>
        <v>15572465.199999999</v>
      </c>
    </row>
    <row r="217" spans="1:8" ht="15.75" customHeight="1">
      <c r="A217" s="6"/>
      <c r="B217" s="7"/>
      <c r="C217" s="8"/>
      <c r="D217" s="40">
        <v>732</v>
      </c>
      <c r="E217" s="30" t="s">
        <v>793</v>
      </c>
      <c r="F217" s="35">
        <v>552000</v>
      </c>
      <c r="G217" s="35">
        <v>27604976.530000001</v>
      </c>
      <c r="H217" s="35">
        <f t="shared" si="13"/>
        <v>28156976.530000001</v>
      </c>
    </row>
    <row r="218" spans="1:8" ht="15.75" customHeight="1">
      <c r="A218" s="6"/>
      <c r="B218" s="7"/>
      <c r="C218" s="8"/>
      <c r="D218" s="40">
        <v>752</v>
      </c>
      <c r="E218" s="30" t="s">
        <v>777</v>
      </c>
      <c r="F218" s="35">
        <v>2399995</v>
      </c>
      <c r="G218" s="35">
        <v>101192370.41</v>
      </c>
      <c r="H218" s="35">
        <f t="shared" si="13"/>
        <v>103592365.41</v>
      </c>
    </row>
    <row r="219" spans="1:8" ht="15.75" customHeight="1">
      <c r="A219" s="6"/>
      <c r="B219" s="7"/>
      <c r="C219" s="8"/>
      <c r="D219" s="40">
        <v>753</v>
      </c>
      <c r="E219" s="30" t="s">
        <v>779</v>
      </c>
      <c r="F219" s="35">
        <v>3835999.84</v>
      </c>
      <c r="G219" s="35">
        <v>25385000</v>
      </c>
      <c r="H219" s="35">
        <f t="shared" si="13"/>
        <v>29220999.84</v>
      </c>
    </row>
    <row r="220" spans="1:8" ht="15.75" customHeight="1">
      <c r="A220" s="6"/>
      <c r="B220" s="7"/>
      <c r="C220" s="8"/>
      <c r="D220" s="29">
        <v>753401</v>
      </c>
      <c r="E220" s="30" t="s">
        <v>717</v>
      </c>
      <c r="F220" s="35">
        <v>6154725</v>
      </c>
      <c r="G220" s="35">
        <v>2330000</v>
      </c>
      <c r="H220" s="35">
        <f t="shared" si="13"/>
        <v>8484725</v>
      </c>
    </row>
    <row r="221" spans="1:8" ht="15.75" customHeight="1">
      <c r="A221" s="6"/>
      <c r="B221" s="7"/>
      <c r="C221" s="8"/>
      <c r="D221" s="29">
        <v>753402</v>
      </c>
      <c r="E221" s="30" t="s">
        <v>781</v>
      </c>
      <c r="F221" s="35">
        <v>10811440</v>
      </c>
      <c r="G221" s="35">
        <v>350000</v>
      </c>
      <c r="H221" s="35">
        <f t="shared" si="13"/>
        <v>11161440</v>
      </c>
    </row>
    <row r="222" spans="1:8" ht="15.75" customHeight="1">
      <c r="A222" s="6"/>
      <c r="B222" s="7"/>
      <c r="C222" s="8"/>
      <c r="D222" s="29">
        <v>761215</v>
      </c>
      <c r="E222" s="30" t="s">
        <v>794</v>
      </c>
      <c r="F222" s="35">
        <v>360000</v>
      </c>
      <c r="G222" s="35">
        <v>1000000</v>
      </c>
      <c r="H222" s="35">
        <f t="shared" si="13"/>
        <v>1360000</v>
      </c>
    </row>
    <row r="223" spans="1:8" ht="15.75" customHeight="1">
      <c r="A223" s="6"/>
      <c r="B223" s="7"/>
      <c r="C223" s="8"/>
      <c r="D223" s="29">
        <v>761301</v>
      </c>
      <c r="E223" s="30" t="s">
        <v>782</v>
      </c>
      <c r="F223" s="35">
        <v>963000</v>
      </c>
      <c r="G223" s="35">
        <v>19156587.300000001</v>
      </c>
      <c r="H223" s="35">
        <f t="shared" si="13"/>
        <v>20119587.300000001</v>
      </c>
    </row>
    <row r="224" spans="1:8" ht="15.75" customHeight="1">
      <c r="A224" s="6"/>
      <c r="B224" s="7"/>
      <c r="C224" s="8"/>
      <c r="D224" s="40"/>
      <c r="E224" s="30"/>
      <c r="F224" s="35"/>
      <c r="G224" s="35"/>
      <c r="H224" s="35"/>
    </row>
    <row r="225" spans="1:8" ht="15.75" customHeight="1">
      <c r="A225" s="6">
        <v>22</v>
      </c>
      <c r="B225" s="16" t="s">
        <v>800</v>
      </c>
      <c r="C225" s="8" t="s">
        <v>801</v>
      </c>
      <c r="D225" s="40">
        <v>720</v>
      </c>
      <c r="E225" s="30" t="s">
        <v>692</v>
      </c>
      <c r="F225" s="35">
        <v>2008200</v>
      </c>
      <c r="G225" s="35">
        <v>17897499.420000002</v>
      </c>
      <c r="H225" s="35">
        <f t="shared" ref="H225:H236" si="14">F225+G225</f>
        <v>19905699.420000002</v>
      </c>
    </row>
    <row r="226" spans="1:8" ht="15.75" customHeight="1">
      <c r="A226" s="6"/>
      <c r="B226" s="7"/>
      <c r="C226" s="8"/>
      <c r="D226" s="40" t="s">
        <v>802</v>
      </c>
      <c r="E226" s="30" t="s">
        <v>789</v>
      </c>
      <c r="F226" s="45">
        <v>2009974.88</v>
      </c>
      <c r="G226" s="45">
        <v>3500001</v>
      </c>
      <c r="H226" s="35">
        <f t="shared" si="14"/>
        <v>5509975.8799999999</v>
      </c>
    </row>
    <row r="227" spans="1:8" ht="15.75" customHeight="1">
      <c r="A227" s="6"/>
      <c r="B227" s="7"/>
      <c r="C227" s="8"/>
      <c r="D227" s="29">
        <v>720206</v>
      </c>
      <c r="E227" s="30" t="s">
        <v>770</v>
      </c>
      <c r="F227" s="45">
        <v>460000</v>
      </c>
      <c r="G227" s="45">
        <v>17602465.199999999</v>
      </c>
      <c r="H227" s="35">
        <f t="shared" si="14"/>
        <v>18062465.199999999</v>
      </c>
    </row>
    <row r="228" spans="1:8" ht="15.75" customHeight="1">
      <c r="A228" s="6"/>
      <c r="B228" s="7"/>
      <c r="C228" s="8"/>
      <c r="D228" s="29">
        <v>720215</v>
      </c>
      <c r="E228" s="30" t="s">
        <v>803</v>
      </c>
      <c r="F228" s="45">
        <v>660000</v>
      </c>
      <c r="G228" s="45">
        <v>1000000</v>
      </c>
      <c r="H228" s="35">
        <f t="shared" si="14"/>
        <v>1660000</v>
      </c>
    </row>
    <row r="229" spans="1:8" ht="15.75" customHeight="1">
      <c r="A229" s="6"/>
      <c r="B229" s="7"/>
      <c r="C229" s="8"/>
      <c r="D229" s="40">
        <v>730</v>
      </c>
      <c r="E229" s="30" t="s">
        <v>804</v>
      </c>
      <c r="F229" s="45">
        <v>1620000</v>
      </c>
      <c r="G229" s="45">
        <v>37046753.020000003</v>
      </c>
      <c r="H229" s="35">
        <f t="shared" si="14"/>
        <v>38666753.020000003</v>
      </c>
    </row>
    <row r="230" spans="1:8" ht="15.75" customHeight="1">
      <c r="A230" s="6"/>
      <c r="B230" s="7"/>
      <c r="C230" s="8"/>
      <c r="D230" s="40">
        <v>732</v>
      </c>
      <c r="E230" s="30" t="s">
        <v>793</v>
      </c>
      <c r="F230" s="45">
        <v>552000</v>
      </c>
      <c r="G230" s="45">
        <v>34595417.600000001</v>
      </c>
      <c r="H230" s="35">
        <f t="shared" si="14"/>
        <v>35147417.600000001</v>
      </c>
    </row>
    <row r="231" spans="1:8" ht="15.75" customHeight="1">
      <c r="A231" s="6"/>
      <c r="B231" s="7"/>
      <c r="C231" s="8"/>
      <c r="D231" s="40">
        <v>752</v>
      </c>
      <c r="E231" s="30" t="s">
        <v>805</v>
      </c>
      <c r="F231" s="45">
        <v>4300005</v>
      </c>
      <c r="G231" s="45">
        <v>32101005</v>
      </c>
      <c r="H231" s="35">
        <f t="shared" si="14"/>
        <v>36401010</v>
      </c>
    </row>
    <row r="232" spans="1:8" ht="15.75" customHeight="1">
      <c r="A232" s="6"/>
      <c r="B232" s="7"/>
      <c r="C232" s="8"/>
      <c r="D232" s="29">
        <v>752301</v>
      </c>
      <c r="E232" s="30" t="s">
        <v>782</v>
      </c>
      <c r="F232" s="45">
        <v>963000</v>
      </c>
      <c r="G232" s="45">
        <v>18256587.300000001</v>
      </c>
      <c r="H232" s="35">
        <f t="shared" si="14"/>
        <v>19219587.300000001</v>
      </c>
    </row>
    <row r="233" spans="1:8" ht="15.75" customHeight="1">
      <c r="A233" s="6"/>
      <c r="B233" s="7"/>
      <c r="C233" s="8"/>
      <c r="D233" s="29">
        <v>752307</v>
      </c>
      <c r="E233" s="30" t="s">
        <v>806</v>
      </c>
      <c r="F233" s="45">
        <v>54000</v>
      </c>
      <c r="G233" s="45">
        <v>1</v>
      </c>
      <c r="H233" s="35">
        <f t="shared" si="14"/>
        <v>54001</v>
      </c>
    </row>
    <row r="234" spans="1:8" ht="15.75" customHeight="1">
      <c r="A234" s="6"/>
      <c r="B234" s="7"/>
      <c r="C234" s="8"/>
      <c r="D234" s="40">
        <v>753</v>
      </c>
      <c r="E234" s="30" t="s">
        <v>807</v>
      </c>
      <c r="F234" s="45">
        <v>4505999.84</v>
      </c>
      <c r="G234" s="45">
        <v>23987100</v>
      </c>
      <c r="H234" s="35">
        <f t="shared" si="14"/>
        <v>28493099.84</v>
      </c>
    </row>
    <row r="235" spans="1:8" ht="15.75" customHeight="1">
      <c r="A235" s="6"/>
      <c r="B235" s="7"/>
      <c r="C235" s="8"/>
      <c r="D235" s="29">
        <v>753401</v>
      </c>
      <c r="E235" s="30" t="s">
        <v>717</v>
      </c>
      <c r="F235" s="45">
        <v>4749184</v>
      </c>
      <c r="G235" s="45">
        <v>320000</v>
      </c>
      <c r="H235" s="35">
        <f t="shared" si="14"/>
        <v>5069184</v>
      </c>
    </row>
    <row r="236" spans="1:8" ht="15.75" customHeight="1">
      <c r="A236" s="6"/>
      <c r="B236" s="7"/>
      <c r="C236" s="8"/>
      <c r="D236" s="29">
        <v>753402</v>
      </c>
      <c r="E236" s="30" t="s">
        <v>781</v>
      </c>
      <c r="F236" s="45">
        <v>10715845</v>
      </c>
      <c r="G236" s="45">
        <v>300000</v>
      </c>
      <c r="H236" s="35">
        <f t="shared" si="14"/>
        <v>11015845</v>
      </c>
    </row>
    <row r="237" spans="1:8" ht="6" customHeight="1">
      <c r="A237" s="6"/>
      <c r="B237" s="7"/>
      <c r="C237" s="8"/>
      <c r="D237" s="40"/>
      <c r="E237" s="30"/>
      <c r="F237" s="46"/>
      <c r="G237" s="46"/>
      <c r="H237" s="35"/>
    </row>
    <row r="238" spans="1:8" ht="15.75" customHeight="1">
      <c r="A238" s="6">
        <v>21</v>
      </c>
      <c r="B238" s="16" t="s">
        <v>808</v>
      </c>
      <c r="C238" s="8" t="s">
        <v>809</v>
      </c>
      <c r="D238" s="40">
        <v>720</v>
      </c>
      <c r="E238" s="30" t="s">
        <v>692</v>
      </c>
      <c r="F238" s="45">
        <v>2279200</v>
      </c>
      <c r="G238" s="45">
        <v>12391016.310000001</v>
      </c>
      <c r="H238" s="35">
        <f t="shared" ref="H238:H248" si="15">F238+G238</f>
        <v>14670216.310000001</v>
      </c>
    </row>
    <row r="239" spans="1:8" ht="15.75" customHeight="1">
      <c r="A239" s="6"/>
      <c r="B239" s="7"/>
      <c r="C239" s="8"/>
      <c r="D239" s="40" t="s">
        <v>802</v>
      </c>
      <c r="E239" s="30" t="s">
        <v>789</v>
      </c>
      <c r="F239" s="42">
        <v>1799974.88</v>
      </c>
      <c r="G239" s="45">
        <v>10100001</v>
      </c>
      <c r="H239" s="35">
        <f t="shared" si="15"/>
        <v>11899975.879999999</v>
      </c>
    </row>
    <row r="240" spans="1:8" ht="15.75" customHeight="1">
      <c r="A240" s="6"/>
      <c r="B240" s="7"/>
      <c r="C240" s="8"/>
      <c r="D240" s="29">
        <v>720206</v>
      </c>
      <c r="E240" s="30" t="s">
        <v>770</v>
      </c>
      <c r="F240" s="45">
        <v>120000</v>
      </c>
      <c r="G240" s="45">
        <v>4618585.49</v>
      </c>
      <c r="H240" s="35">
        <f t="shared" si="15"/>
        <v>4738585.49</v>
      </c>
    </row>
    <row r="241" spans="1:9" ht="15.75" customHeight="1">
      <c r="A241" s="6"/>
      <c r="B241" s="7"/>
      <c r="C241" s="8"/>
      <c r="D241" s="40">
        <v>730</v>
      </c>
      <c r="E241" s="30" t="s">
        <v>804</v>
      </c>
      <c r="F241" s="45">
        <v>470000</v>
      </c>
      <c r="G241" s="42">
        <v>55666021</v>
      </c>
      <c r="H241" s="35">
        <f t="shared" si="15"/>
        <v>56136021</v>
      </c>
    </row>
    <row r="242" spans="1:9" ht="15.75" customHeight="1">
      <c r="A242" s="6"/>
      <c r="B242" s="7"/>
      <c r="C242" s="8"/>
      <c r="D242" s="40">
        <v>732</v>
      </c>
      <c r="E242" s="30" t="s">
        <v>793</v>
      </c>
      <c r="F242" s="44">
        <v>4522000</v>
      </c>
      <c r="G242" s="45">
        <v>7600000</v>
      </c>
      <c r="H242" s="35">
        <f t="shared" si="15"/>
        <v>12122000</v>
      </c>
    </row>
    <row r="243" spans="1:9" ht="15.75" customHeight="1">
      <c r="A243" s="6"/>
      <c r="B243" s="7"/>
      <c r="C243" s="8"/>
      <c r="D243" s="40">
        <v>752</v>
      </c>
      <c r="E243" s="30" t="s">
        <v>810</v>
      </c>
      <c r="F243" s="44">
        <v>2758000</v>
      </c>
      <c r="G243" s="44">
        <v>10116193.560000001</v>
      </c>
      <c r="H243" s="35">
        <f t="shared" si="15"/>
        <v>12874193.560000001</v>
      </c>
    </row>
    <row r="244" spans="1:9" ht="15.75" customHeight="1">
      <c r="A244" s="6"/>
      <c r="B244" s="7"/>
      <c r="C244" s="8"/>
      <c r="D244" s="29">
        <v>752301</v>
      </c>
      <c r="E244" s="30" t="s">
        <v>782</v>
      </c>
      <c r="F244" s="44">
        <v>1735000</v>
      </c>
      <c r="G244" s="45">
        <v>18684699</v>
      </c>
      <c r="H244" s="35">
        <f t="shared" si="15"/>
        <v>20419699</v>
      </c>
    </row>
    <row r="245" spans="1:9" ht="15.75" customHeight="1">
      <c r="A245" s="6"/>
      <c r="B245" s="7"/>
      <c r="C245" s="8"/>
      <c r="D245" s="29">
        <v>752307</v>
      </c>
      <c r="E245" s="30" t="s">
        <v>806</v>
      </c>
      <c r="F245" s="45">
        <v>54000</v>
      </c>
      <c r="G245" s="45">
        <v>1</v>
      </c>
      <c r="H245" s="35">
        <f t="shared" si="15"/>
        <v>54001</v>
      </c>
    </row>
    <row r="246" spans="1:9" ht="15.75" customHeight="1">
      <c r="A246" s="6"/>
      <c r="B246" s="7"/>
      <c r="C246" s="8"/>
      <c r="D246" s="40">
        <v>753</v>
      </c>
      <c r="E246" s="30" t="s">
        <v>807</v>
      </c>
      <c r="F246" s="43">
        <v>9352999.8399999999</v>
      </c>
      <c r="G246" s="45">
        <v>27365173.149999999</v>
      </c>
      <c r="H246" s="35">
        <f t="shared" si="15"/>
        <v>36718172.989999995</v>
      </c>
      <c r="I246" s="43"/>
    </row>
    <row r="247" spans="1:9" ht="15.75" customHeight="1">
      <c r="A247" s="6"/>
      <c r="B247" s="7"/>
      <c r="C247" s="8"/>
      <c r="D247" s="29">
        <v>753401</v>
      </c>
      <c r="E247" s="30" t="s">
        <v>717</v>
      </c>
      <c r="F247" s="45">
        <v>3700000</v>
      </c>
      <c r="G247" s="45">
        <v>2131486.9900000002</v>
      </c>
      <c r="H247" s="35">
        <f t="shared" si="15"/>
        <v>5831486.9900000002</v>
      </c>
    </row>
    <row r="248" spans="1:9" ht="15.75" customHeight="1">
      <c r="A248" s="6"/>
      <c r="B248" s="7"/>
      <c r="C248" s="8"/>
      <c r="D248" s="29">
        <v>753402</v>
      </c>
      <c r="E248" s="30" t="s">
        <v>781</v>
      </c>
      <c r="F248" s="45">
        <v>9060000</v>
      </c>
      <c r="G248" s="45">
        <v>225000</v>
      </c>
      <c r="H248" s="35">
        <f t="shared" si="15"/>
        <v>9285000</v>
      </c>
    </row>
    <row r="249" spans="1:9" ht="8.25" customHeight="1">
      <c r="A249" s="6"/>
      <c r="B249" s="7"/>
      <c r="C249" s="8"/>
      <c r="D249" s="40"/>
      <c r="E249" s="30"/>
      <c r="F249" s="46"/>
      <c r="G249" s="46"/>
      <c r="H249" s="35"/>
    </row>
    <row r="250" spans="1:9" ht="15.75" customHeight="1">
      <c r="A250" s="6">
        <v>20</v>
      </c>
      <c r="B250" s="16" t="s">
        <v>811</v>
      </c>
      <c r="C250" s="8" t="s">
        <v>812</v>
      </c>
      <c r="D250" s="40">
        <v>720</v>
      </c>
      <c r="E250" s="30" t="s">
        <v>692</v>
      </c>
      <c r="F250" s="45">
        <v>1058200</v>
      </c>
      <c r="G250" s="44">
        <v>18509849.609999999</v>
      </c>
      <c r="H250" s="35">
        <f t="shared" ref="H250:H260" si="16">F250+G250</f>
        <v>19568049.609999999</v>
      </c>
    </row>
    <row r="251" spans="1:9" ht="15.75" customHeight="1">
      <c r="A251" s="6"/>
      <c r="B251" s="7"/>
      <c r="C251" s="8"/>
      <c r="D251" s="40" t="s">
        <v>802</v>
      </c>
      <c r="E251" s="30" t="s">
        <v>789</v>
      </c>
      <c r="F251" s="35">
        <v>1459974.88</v>
      </c>
      <c r="G251" s="35">
        <v>5900001</v>
      </c>
      <c r="H251" s="35">
        <f t="shared" si="16"/>
        <v>7359975.8799999999</v>
      </c>
    </row>
    <row r="252" spans="1:9" ht="15.75" customHeight="1">
      <c r="A252" s="6"/>
      <c r="B252" s="7"/>
      <c r="C252" s="8"/>
      <c r="D252" s="29">
        <v>720206</v>
      </c>
      <c r="E252" s="30" t="s">
        <v>770</v>
      </c>
      <c r="F252" s="44">
        <v>120000</v>
      </c>
      <c r="G252" s="35">
        <v>6618585.4900000002</v>
      </c>
      <c r="H252" s="35">
        <f t="shared" si="16"/>
        <v>6738585.4900000002</v>
      </c>
    </row>
    <row r="253" spans="1:9" ht="15.75" customHeight="1">
      <c r="A253" s="6"/>
      <c r="B253" s="7"/>
      <c r="C253" s="8"/>
      <c r="D253" s="40">
        <v>730</v>
      </c>
      <c r="E253" s="30" t="s">
        <v>804</v>
      </c>
      <c r="F253" s="44">
        <v>470000</v>
      </c>
      <c r="G253" s="44">
        <v>51425670.600000001</v>
      </c>
      <c r="H253" s="35">
        <f t="shared" si="16"/>
        <v>51895670.600000001</v>
      </c>
    </row>
    <row r="254" spans="1:9" ht="15.75" customHeight="1">
      <c r="A254" s="6"/>
      <c r="B254" s="7"/>
      <c r="C254" s="8"/>
      <c r="D254" s="40">
        <v>732</v>
      </c>
      <c r="E254" s="30" t="s">
        <v>793</v>
      </c>
      <c r="F254" s="35">
        <v>702000</v>
      </c>
      <c r="G254" s="35">
        <v>6900000</v>
      </c>
      <c r="H254" s="35">
        <f t="shared" si="16"/>
        <v>7602000</v>
      </c>
    </row>
    <row r="255" spans="1:9" ht="15.75" customHeight="1">
      <c r="A255" s="6"/>
      <c r="B255" s="7"/>
      <c r="C255" s="8"/>
      <c r="D255" s="40">
        <v>752</v>
      </c>
      <c r="E255" s="30" t="s">
        <v>810</v>
      </c>
      <c r="F255" s="35">
        <v>1013000</v>
      </c>
      <c r="G255" s="43">
        <v>20367025.780000001</v>
      </c>
      <c r="H255" s="35">
        <f t="shared" si="16"/>
        <v>21380025.780000001</v>
      </c>
      <c r="I255" s="43"/>
    </row>
    <row r="256" spans="1:9" ht="15.75" customHeight="1">
      <c r="A256" s="6"/>
      <c r="B256" s="7"/>
      <c r="C256" s="8"/>
      <c r="D256" s="29">
        <v>752301</v>
      </c>
      <c r="E256" s="30" t="s">
        <v>782</v>
      </c>
      <c r="F256" s="44">
        <v>595000</v>
      </c>
      <c r="G256" s="43">
        <v>13950571.310000001</v>
      </c>
      <c r="H256" s="35">
        <f t="shared" si="16"/>
        <v>14545571.310000001</v>
      </c>
      <c r="I256" s="43"/>
    </row>
    <row r="257" spans="1:9" ht="15.75" customHeight="1">
      <c r="A257" s="6"/>
      <c r="B257" s="7"/>
      <c r="C257" s="8"/>
      <c r="D257" s="29">
        <v>752307</v>
      </c>
      <c r="E257" s="30" t="s">
        <v>806</v>
      </c>
      <c r="F257" s="44">
        <v>54000</v>
      </c>
      <c r="G257" s="44">
        <v>1</v>
      </c>
      <c r="H257" s="35">
        <f t="shared" si="16"/>
        <v>54001</v>
      </c>
    </row>
    <row r="258" spans="1:9" ht="15.75" customHeight="1">
      <c r="A258" s="6"/>
      <c r="B258" s="7"/>
      <c r="C258" s="8"/>
      <c r="D258" s="40">
        <v>753</v>
      </c>
      <c r="E258" s="30" t="s">
        <v>813</v>
      </c>
      <c r="F258" s="44">
        <v>2855999.84</v>
      </c>
      <c r="G258" s="43">
        <v>23136839.800000001</v>
      </c>
      <c r="H258" s="35">
        <f t="shared" si="16"/>
        <v>25992839.640000001</v>
      </c>
      <c r="I258" s="43"/>
    </row>
    <row r="259" spans="1:9" ht="15.75" customHeight="1">
      <c r="A259" s="6"/>
      <c r="B259" s="7"/>
      <c r="C259" s="8"/>
      <c r="D259" s="29">
        <v>753401</v>
      </c>
      <c r="E259" s="30" t="s">
        <v>717</v>
      </c>
      <c r="F259" s="35">
        <v>3356000</v>
      </c>
      <c r="G259" s="43">
        <v>4229000</v>
      </c>
      <c r="H259" s="35">
        <f t="shared" si="16"/>
        <v>7585000</v>
      </c>
      <c r="I259" s="43"/>
    </row>
    <row r="260" spans="1:9" ht="15.75" customHeight="1">
      <c r="A260" s="6"/>
      <c r="B260" s="7"/>
      <c r="C260" s="8"/>
      <c r="D260" s="29">
        <v>753402</v>
      </c>
      <c r="E260" s="30" t="s">
        <v>781</v>
      </c>
      <c r="F260" s="44">
        <v>8075000</v>
      </c>
      <c r="G260" s="43">
        <v>1225000</v>
      </c>
      <c r="H260" s="35">
        <f t="shared" si="16"/>
        <v>9300000</v>
      </c>
      <c r="I260" s="43"/>
    </row>
    <row r="261" spans="1:9" ht="15.75" customHeight="1">
      <c r="A261" s="6"/>
      <c r="B261" s="7"/>
      <c r="C261" s="8"/>
      <c r="D261" s="39"/>
      <c r="E261" s="30"/>
      <c r="F261" s="35"/>
      <c r="G261" s="35"/>
      <c r="H261" s="35"/>
    </row>
    <row r="262" spans="1:9" ht="6" customHeight="1">
      <c r="A262" s="6"/>
      <c r="B262" s="7"/>
      <c r="C262" s="8"/>
      <c r="D262" s="39"/>
      <c r="E262" s="30"/>
      <c r="F262" s="35"/>
      <c r="G262" s="35"/>
      <c r="H262" s="35"/>
    </row>
    <row r="263" spans="1:9" ht="15.75" customHeight="1">
      <c r="A263" s="6">
        <v>19</v>
      </c>
      <c r="B263" s="16" t="s">
        <v>814</v>
      </c>
      <c r="C263" s="8" t="s">
        <v>815</v>
      </c>
      <c r="D263" s="47">
        <v>720</v>
      </c>
      <c r="E263" s="30" t="s">
        <v>816</v>
      </c>
      <c r="F263" s="35">
        <v>1943000</v>
      </c>
      <c r="G263" s="35">
        <v>7913638</v>
      </c>
      <c r="H263" s="35">
        <f t="shared" ref="H263:H272" si="17">F263+G263</f>
        <v>9856638</v>
      </c>
    </row>
    <row r="264" spans="1:9">
      <c r="A264" s="6"/>
      <c r="B264" s="7"/>
      <c r="C264" s="8"/>
      <c r="D264" s="47" t="s">
        <v>817</v>
      </c>
      <c r="E264" s="30" t="s">
        <v>818</v>
      </c>
      <c r="F264" s="46">
        <v>1940000</v>
      </c>
      <c r="G264" s="46">
        <v>6637985.5300000003</v>
      </c>
      <c r="H264" s="35">
        <f t="shared" si="17"/>
        <v>8577985.5300000012</v>
      </c>
    </row>
    <row r="265" spans="1:9">
      <c r="A265" s="6"/>
      <c r="B265" s="7"/>
      <c r="C265" s="8"/>
      <c r="D265" s="48">
        <v>720206</v>
      </c>
      <c r="E265" s="30" t="s">
        <v>819</v>
      </c>
      <c r="F265" s="46">
        <v>820000</v>
      </c>
      <c r="G265" s="46">
        <v>4100000</v>
      </c>
      <c r="H265" s="35">
        <f t="shared" si="17"/>
        <v>4920000</v>
      </c>
    </row>
    <row r="266" spans="1:9">
      <c r="A266" s="6"/>
      <c r="B266" s="7"/>
      <c r="C266" s="8"/>
      <c r="D266" s="47">
        <v>730</v>
      </c>
      <c r="E266" s="30" t="s">
        <v>820</v>
      </c>
      <c r="F266" s="46">
        <v>3268745.43</v>
      </c>
      <c r="G266" s="46">
        <v>51981191.399999999</v>
      </c>
      <c r="H266" s="35">
        <f t="shared" si="17"/>
        <v>55249936.829999998</v>
      </c>
    </row>
    <row r="267" spans="1:9">
      <c r="A267" s="6"/>
      <c r="B267" s="7"/>
      <c r="C267" s="8"/>
      <c r="D267" s="47">
        <v>732</v>
      </c>
      <c r="E267" s="30" t="s">
        <v>821</v>
      </c>
      <c r="F267" s="46">
        <v>2914000</v>
      </c>
      <c r="G267" s="46">
        <v>1942147.39</v>
      </c>
      <c r="H267" s="35">
        <f t="shared" si="17"/>
        <v>4856147.3899999997</v>
      </c>
    </row>
    <row r="268" spans="1:9">
      <c r="A268" s="6"/>
      <c r="B268" s="7"/>
      <c r="C268" s="8"/>
      <c r="D268" s="47">
        <v>752</v>
      </c>
      <c r="E268" s="30" t="s">
        <v>822</v>
      </c>
      <c r="F268" s="46">
        <v>4258005</v>
      </c>
      <c r="G268" s="46">
        <v>27332252.879999999</v>
      </c>
      <c r="H268" s="35">
        <f t="shared" si="17"/>
        <v>31590257.879999999</v>
      </c>
    </row>
    <row r="269" spans="1:9">
      <c r="A269" s="6"/>
      <c r="B269" s="7"/>
      <c r="C269" s="8"/>
      <c r="D269" s="47" t="s">
        <v>823</v>
      </c>
      <c r="E269" s="30" t="s">
        <v>824</v>
      </c>
      <c r="F269" s="46">
        <v>1850000</v>
      </c>
      <c r="G269" s="46">
        <v>9074921.3399999999</v>
      </c>
      <c r="H269" s="35">
        <f t="shared" si="17"/>
        <v>10924921.34</v>
      </c>
    </row>
    <row r="270" spans="1:9">
      <c r="A270" s="6"/>
      <c r="B270" s="7"/>
      <c r="C270" s="8"/>
      <c r="D270" s="47">
        <v>753</v>
      </c>
      <c r="E270" s="30" t="s">
        <v>825</v>
      </c>
      <c r="F270" s="46">
        <v>9561984</v>
      </c>
      <c r="G270" s="46">
        <v>19390189</v>
      </c>
      <c r="H270" s="35">
        <f t="shared" si="17"/>
        <v>28952173</v>
      </c>
    </row>
    <row r="271" spans="1:9">
      <c r="A271" s="6"/>
      <c r="B271" s="7"/>
      <c r="C271" s="8"/>
      <c r="D271" s="47" t="s">
        <v>826</v>
      </c>
      <c r="E271" s="30" t="s">
        <v>827</v>
      </c>
      <c r="F271" s="46">
        <v>3340568.24</v>
      </c>
      <c r="G271" s="46">
        <v>4265005</v>
      </c>
      <c r="H271" s="35">
        <f t="shared" si="17"/>
        <v>7605573.2400000002</v>
      </c>
    </row>
    <row r="272" spans="1:9">
      <c r="A272" s="6"/>
      <c r="B272" s="7"/>
      <c r="C272" s="8"/>
      <c r="D272" s="47" t="s">
        <v>828</v>
      </c>
      <c r="E272" s="30" t="s">
        <v>829</v>
      </c>
      <c r="F272" s="46">
        <v>8455046.2599999998</v>
      </c>
      <c r="G272" s="46">
        <v>8256400</v>
      </c>
      <c r="H272" s="35">
        <f t="shared" si="17"/>
        <v>16711446.26</v>
      </c>
    </row>
    <row r="273" spans="1:9">
      <c r="A273" s="6"/>
      <c r="B273" s="7"/>
      <c r="C273" s="8"/>
      <c r="D273" s="39"/>
      <c r="E273" s="30"/>
      <c r="F273" s="46"/>
      <c r="G273" s="46"/>
      <c r="H273" s="35"/>
    </row>
    <row r="274" spans="1:9" ht="6.75" customHeight="1">
      <c r="A274" s="6"/>
      <c r="B274" s="7"/>
      <c r="C274" s="8"/>
      <c r="D274" s="39"/>
      <c r="E274" s="30"/>
      <c r="F274" s="46"/>
      <c r="G274" s="46"/>
      <c r="H274" s="35"/>
    </row>
    <row r="275" spans="1:9" ht="36" customHeight="1">
      <c r="A275" s="6">
        <v>18</v>
      </c>
      <c r="B275" s="16" t="s">
        <v>830</v>
      </c>
      <c r="C275" s="8" t="s">
        <v>831</v>
      </c>
      <c r="D275" s="39"/>
      <c r="E275" s="30" t="s">
        <v>816</v>
      </c>
      <c r="F275" s="46">
        <v>1640003</v>
      </c>
      <c r="G275" s="46">
        <v>16247781.279999999</v>
      </c>
      <c r="H275" s="35">
        <f t="shared" ref="H275:H283" si="18">F275+G275</f>
        <v>17887784.280000001</v>
      </c>
    </row>
    <row r="276" spans="1:9" ht="15.75" customHeight="1">
      <c r="A276" s="6"/>
      <c r="B276" s="7"/>
      <c r="C276" s="8"/>
      <c r="E276" s="30" t="s">
        <v>820</v>
      </c>
      <c r="F276" s="46">
        <v>470001</v>
      </c>
      <c r="G276" s="46">
        <v>27439901</v>
      </c>
      <c r="H276" s="35">
        <f t="shared" si="18"/>
        <v>27909902</v>
      </c>
    </row>
    <row r="277" spans="1:9" ht="15.75" customHeight="1">
      <c r="A277" s="6"/>
      <c r="B277" s="7"/>
      <c r="C277" s="8"/>
      <c r="E277" s="30" t="s">
        <v>832</v>
      </c>
      <c r="F277" s="46">
        <v>530001</v>
      </c>
      <c r="G277" s="46">
        <v>2040000</v>
      </c>
      <c r="H277" s="35">
        <f t="shared" si="18"/>
        <v>2570001</v>
      </c>
    </row>
    <row r="278" spans="1:9" ht="15.75" customHeight="1">
      <c r="A278" s="6"/>
      <c r="B278" s="7"/>
      <c r="C278" s="8"/>
      <c r="E278" s="30" t="s">
        <v>833</v>
      </c>
      <c r="F278" s="46">
        <v>4245011</v>
      </c>
      <c r="G278" s="43">
        <v>28333710.600000001</v>
      </c>
      <c r="H278" s="35">
        <f t="shared" si="18"/>
        <v>32578721.600000001</v>
      </c>
      <c r="I278" s="43"/>
    </row>
    <row r="279" spans="1:9" ht="15.75" customHeight="1">
      <c r="A279" s="6"/>
      <c r="B279" s="7"/>
      <c r="C279" s="8"/>
      <c r="E279" s="30" t="s">
        <v>834</v>
      </c>
      <c r="F279" s="46">
        <v>16945003</v>
      </c>
      <c r="G279" s="46">
        <v>27144905.199999999</v>
      </c>
      <c r="H279" s="35">
        <f t="shared" si="18"/>
        <v>44089908.200000003</v>
      </c>
    </row>
    <row r="280" spans="1:9" ht="15.75" customHeight="1">
      <c r="A280" s="6"/>
      <c r="B280" s="7"/>
      <c r="C280" s="8"/>
      <c r="E280" s="30" t="s">
        <v>835</v>
      </c>
      <c r="F280" s="46">
        <v>400001</v>
      </c>
      <c r="G280" s="46"/>
      <c r="H280" s="35">
        <f t="shared" si="18"/>
        <v>400001</v>
      </c>
    </row>
    <row r="281" spans="1:9" ht="15.75" customHeight="1">
      <c r="A281" s="6"/>
      <c r="B281" s="7"/>
      <c r="C281" s="8"/>
      <c r="E281" s="30" t="s">
        <v>836</v>
      </c>
      <c r="F281" s="46">
        <v>720000</v>
      </c>
      <c r="G281" s="46"/>
      <c r="H281" s="35">
        <f t="shared" si="18"/>
        <v>720000</v>
      </c>
    </row>
    <row r="282" spans="1:9" ht="15.75" customHeight="1">
      <c r="A282" s="6"/>
      <c r="B282" s="7"/>
      <c r="C282" s="8"/>
      <c r="E282" s="30" t="s">
        <v>837</v>
      </c>
      <c r="F282" s="46">
        <v>195000</v>
      </c>
      <c r="G282" s="46"/>
      <c r="H282" s="35">
        <f t="shared" si="18"/>
        <v>195000</v>
      </c>
    </row>
    <row r="283" spans="1:9" ht="15.75" customHeight="1">
      <c r="A283" s="6"/>
      <c r="B283" s="7"/>
      <c r="C283" s="8"/>
      <c r="E283" s="30" t="s">
        <v>838</v>
      </c>
      <c r="F283" s="46">
        <v>120000</v>
      </c>
      <c r="G283" s="46"/>
      <c r="H283" s="35">
        <f t="shared" si="18"/>
        <v>120000</v>
      </c>
    </row>
    <row r="284" spans="1:9" ht="6" customHeight="1">
      <c r="A284" s="6"/>
      <c r="B284" s="7"/>
      <c r="C284" s="8"/>
      <c r="E284" s="30"/>
      <c r="F284" s="49"/>
      <c r="G284" s="49"/>
      <c r="H284" s="35"/>
    </row>
    <row r="285" spans="1:9" ht="15.75" customHeight="1">
      <c r="A285" s="6">
        <v>17</v>
      </c>
      <c r="B285" s="16" t="s">
        <v>839</v>
      </c>
      <c r="C285" s="8" t="s">
        <v>840</v>
      </c>
      <c r="E285" s="30" t="s">
        <v>841</v>
      </c>
      <c r="F285" s="46">
        <v>4186520</v>
      </c>
      <c r="G285" s="46">
        <v>3560559</v>
      </c>
      <c r="H285" s="35">
        <f t="shared" ref="H285:H294" si="19">F285+G285</f>
        <v>7747079</v>
      </c>
    </row>
    <row r="286" spans="1:9" ht="15.75" customHeight="1">
      <c r="A286" s="6"/>
      <c r="B286" s="50"/>
      <c r="C286" s="30"/>
      <c r="E286" s="30" t="s">
        <v>842</v>
      </c>
      <c r="F286" s="46">
        <v>4757733</v>
      </c>
      <c r="G286" s="46">
        <v>14916680</v>
      </c>
      <c r="H286" s="35">
        <f t="shared" si="19"/>
        <v>19674413</v>
      </c>
    </row>
    <row r="287" spans="1:9" ht="15.75" customHeight="1">
      <c r="A287" s="6"/>
      <c r="B287" s="50"/>
      <c r="C287" s="30"/>
      <c r="E287" s="30" t="s">
        <v>843</v>
      </c>
      <c r="F287" s="46">
        <v>3673032</v>
      </c>
      <c r="G287" s="46">
        <v>16123271</v>
      </c>
      <c r="H287" s="35">
        <f t="shared" si="19"/>
        <v>19796303</v>
      </c>
    </row>
    <row r="288" spans="1:9" ht="15.75" customHeight="1">
      <c r="A288" s="6"/>
      <c r="B288" s="50"/>
      <c r="C288" s="30"/>
      <c r="E288" s="30" t="s">
        <v>844</v>
      </c>
      <c r="F288" s="46">
        <v>1884000</v>
      </c>
      <c r="G288" s="46">
        <v>2383000</v>
      </c>
      <c r="H288" s="35">
        <f t="shared" si="19"/>
        <v>4267000</v>
      </c>
    </row>
    <row r="289" spans="1:8" ht="15.75" customHeight="1">
      <c r="A289" s="6"/>
      <c r="B289" s="50"/>
      <c r="C289" s="30"/>
      <c r="E289" s="30" t="s">
        <v>845</v>
      </c>
      <c r="F289" s="46">
        <v>18350202</v>
      </c>
      <c r="G289" s="46">
        <v>2754200</v>
      </c>
      <c r="H289" s="35">
        <f t="shared" si="19"/>
        <v>21104402</v>
      </c>
    </row>
    <row r="290" spans="1:8" ht="15.75" customHeight="1">
      <c r="A290" s="6"/>
      <c r="B290" s="50"/>
      <c r="C290" s="30"/>
      <c r="E290" s="30" t="s">
        <v>846</v>
      </c>
      <c r="F290" s="46">
        <v>949324</v>
      </c>
      <c r="G290" s="46">
        <v>654180</v>
      </c>
      <c r="H290" s="35">
        <f t="shared" si="19"/>
        <v>1603504</v>
      </c>
    </row>
    <row r="291" spans="1:8" ht="15.75" customHeight="1">
      <c r="A291" s="6"/>
      <c r="B291" s="50"/>
      <c r="C291" s="30"/>
      <c r="E291" s="30" t="s">
        <v>847</v>
      </c>
      <c r="F291" s="46">
        <v>500000</v>
      </c>
      <c r="G291" s="46"/>
      <c r="H291" s="35">
        <f t="shared" si="19"/>
        <v>500000</v>
      </c>
    </row>
    <row r="292" spans="1:8" ht="15.75" customHeight="1">
      <c r="A292" s="6"/>
      <c r="B292" s="50"/>
      <c r="C292" s="30"/>
      <c r="E292" s="30" t="s">
        <v>782</v>
      </c>
      <c r="F292" s="46">
        <v>10501010</v>
      </c>
      <c r="G292" s="46"/>
      <c r="H292" s="35">
        <f t="shared" si="19"/>
        <v>10501010</v>
      </c>
    </row>
    <row r="293" spans="1:8" ht="15.75" customHeight="1">
      <c r="A293" s="6"/>
      <c r="B293" s="50"/>
      <c r="C293" s="30"/>
      <c r="E293" s="30" t="s">
        <v>848</v>
      </c>
      <c r="F293" s="46">
        <v>347000</v>
      </c>
      <c r="G293" s="46"/>
      <c r="H293" s="35">
        <f t="shared" si="19"/>
        <v>347000</v>
      </c>
    </row>
    <row r="294" spans="1:8" ht="15.75" customHeight="1">
      <c r="A294" s="6"/>
      <c r="B294" s="50"/>
      <c r="C294" s="30"/>
      <c r="E294" s="30" t="s">
        <v>849</v>
      </c>
      <c r="F294" s="46">
        <v>313000</v>
      </c>
      <c r="G294" s="46"/>
      <c r="H294" s="35">
        <f t="shared" si="19"/>
        <v>313000</v>
      </c>
    </row>
    <row r="295" spans="1:8" ht="6" customHeight="1">
      <c r="A295" s="6"/>
      <c r="B295" s="50"/>
      <c r="C295" s="30"/>
      <c r="E295" s="30"/>
      <c r="F295" s="49"/>
      <c r="G295" s="49"/>
      <c r="H295" s="35"/>
    </row>
    <row r="296" spans="1:8" ht="15.75" customHeight="1">
      <c r="A296" s="58">
        <v>16</v>
      </c>
      <c r="B296" s="60" t="s">
        <v>850</v>
      </c>
      <c r="C296" s="57" t="s">
        <v>851</v>
      </c>
      <c r="E296" s="30" t="s">
        <v>841</v>
      </c>
      <c r="F296" s="46">
        <v>3175737</v>
      </c>
      <c r="G296" s="46">
        <v>4160559</v>
      </c>
      <c r="H296" s="35">
        <f t="shared" ref="H296:H305" si="20">F296+G296</f>
        <v>7336296</v>
      </c>
    </row>
    <row r="297" spans="1:8" ht="15.75" customHeight="1">
      <c r="A297" s="59"/>
      <c r="B297" s="61"/>
      <c r="C297" s="61"/>
      <c r="E297" s="30" t="s">
        <v>842</v>
      </c>
      <c r="F297" s="46">
        <v>4267733</v>
      </c>
      <c r="G297" s="46">
        <v>20148843</v>
      </c>
      <c r="H297" s="35">
        <f t="shared" si="20"/>
        <v>24416576</v>
      </c>
    </row>
    <row r="298" spans="1:8" ht="15.75" customHeight="1">
      <c r="A298" s="59"/>
      <c r="B298" s="61"/>
      <c r="C298" s="61"/>
      <c r="E298" s="30" t="s">
        <v>843</v>
      </c>
      <c r="F298" s="46">
        <v>3174061</v>
      </c>
      <c r="G298" s="46">
        <v>26433384</v>
      </c>
      <c r="H298" s="35">
        <f t="shared" si="20"/>
        <v>29607445</v>
      </c>
    </row>
    <row r="299" spans="1:8" ht="15.75" customHeight="1">
      <c r="A299" s="59"/>
      <c r="B299" s="61"/>
      <c r="C299" s="61"/>
      <c r="E299" s="30" t="s">
        <v>844</v>
      </c>
      <c r="F299" s="46">
        <v>1459000</v>
      </c>
      <c r="G299" s="46">
        <v>3248000</v>
      </c>
      <c r="H299" s="35">
        <f t="shared" si="20"/>
        <v>4707000</v>
      </c>
    </row>
    <row r="300" spans="1:8" ht="15.75" customHeight="1">
      <c r="A300" s="59"/>
      <c r="B300" s="61"/>
      <c r="C300" s="61"/>
      <c r="E300" s="30" t="s">
        <v>845</v>
      </c>
      <c r="F300" s="46">
        <v>14386003</v>
      </c>
      <c r="G300" s="46">
        <v>3554200</v>
      </c>
      <c r="H300" s="35">
        <f t="shared" si="20"/>
        <v>17940203</v>
      </c>
    </row>
    <row r="301" spans="1:8" ht="15.75" customHeight="1">
      <c r="A301" s="59"/>
      <c r="B301" s="61"/>
      <c r="C301" s="61"/>
      <c r="E301" s="30" t="s">
        <v>846</v>
      </c>
      <c r="F301" s="46">
        <v>863022</v>
      </c>
      <c r="G301" s="46">
        <v>254380</v>
      </c>
      <c r="H301" s="35">
        <f t="shared" si="20"/>
        <v>1117402</v>
      </c>
    </row>
    <row r="302" spans="1:8" ht="15.75" customHeight="1">
      <c r="A302" s="59"/>
      <c r="B302" s="61"/>
      <c r="C302" s="61"/>
      <c r="E302" s="30" t="s">
        <v>835</v>
      </c>
      <c r="F302" s="46">
        <v>500000</v>
      </c>
      <c r="G302" s="46"/>
      <c r="H302" s="35">
        <f t="shared" si="20"/>
        <v>500000</v>
      </c>
    </row>
    <row r="303" spans="1:8" ht="15.75" customHeight="1">
      <c r="A303" s="59"/>
      <c r="B303" s="61"/>
      <c r="C303" s="61"/>
      <c r="E303" s="30" t="s">
        <v>836</v>
      </c>
      <c r="F303" s="46">
        <v>305010</v>
      </c>
      <c r="G303" s="46"/>
      <c r="H303" s="35">
        <f t="shared" si="20"/>
        <v>305010</v>
      </c>
    </row>
    <row r="304" spans="1:8" ht="15.75" customHeight="1">
      <c r="A304" s="59"/>
      <c r="B304" s="61"/>
      <c r="C304" s="61"/>
      <c r="E304" s="30" t="s">
        <v>848</v>
      </c>
      <c r="F304" s="46">
        <v>271000</v>
      </c>
      <c r="G304" s="46"/>
      <c r="H304" s="35">
        <f t="shared" si="20"/>
        <v>271000</v>
      </c>
    </row>
    <row r="305" spans="1:9" ht="15.75" customHeight="1">
      <c r="A305" s="59"/>
      <c r="B305" s="56"/>
      <c r="C305" s="56"/>
      <c r="E305" s="30" t="s">
        <v>849</v>
      </c>
      <c r="F305" s="46">
        <v>299000</v>
      </c>
      <c r="G305" s="46"/>
      <c r="H305" s="35">
        <f t="shared" si="20"/>
        <v>299000</v>
      </c>
    </row>
    <row r="306" spans="1:9" ht="8.25" customHeight="1">
      <c r="A306" s="6"/>
      <c r="B306" s="50"/>
      <c r="C306" s="30"/>
      <c r="E306" s="30"/>
      <c r="F306" s="49"/>
      <c r="G306" s="49"/>
      <c r="H306" s="35"/>
    </row>
    <row r="307" spans="1:9" ht="15.75" customHeight="1">
      <c r="A307" s="58">
        <v>15</v>
      </c>
      <c r="B307" s="60" t="s">
        <v>852</v>
      </c>
      <c r="C307" s="62" t="s">
        <v>853</v>
      </c>
      <c r="E307" s="30" t="s">
        <v>841</v>
      </c>
      <c r="F307" s="46">
        <v>2546224</v>
      </c>
      <c r="G307" s="46">
        <v>4432646</v>
      </c>
      <c r="H307" s="35">
        <f t="shared" ref="H307:H317" si="21">F307+G307</f>
        <v>6978870</v>
      </c>
    </row>
    <row r="308" spans="1:9" ht="15.75" customHeight="1">
      <c r="A308" s="59"/>
      <c r="B308" s="61"/>
      <c r="C308" s="61"/>
      <c r="E308" s="30" t="s">
        <v>842</v>
      </c>
      <c r="F308" s="46">
        <v>1300000</v>
      </c>
      <c r="G308" s="46">
        <v>5195654</v>
      </c>
      <c r="H308" s="35">
        <f t="shared" si="21"/>
        <v>6495654</v>
      </c>
    </row>
    <row r="309" spans="1:9" ht="15.75" customHeight="1">
      <c r="A309" s="59"/>
      <c r="B309" s="61"/>
      <c r="C309" s="61"/>
      <c r="E309" s="30" t="s">
        <v>843</v>
      </c>
      <c r="F309" s="46">
        <v>818008</v>
      </c>
      <c r="G309" s="43">
        <v>10946226</v>
      </c>
      <c r="H309" s="35">
        <f t="shared" si="21"/>
        <v>11764234</v>
      </c>
      <c r="I309" s="43"/>
    </row>
    <row r="310" spans="1:9" ht="15.75" customHeight="1">
      <c r="A310" s="59"/>
      <c r="B310" s="61"/>
      <c r="C310" s="61"/>
      <c r="E310" s="30" t="s">
        <v>844</v>
      </c>
      <c r="F310" s="46">
        <v>13141067</v>
      </c>
      <c r="G310" s="46">
        <v>825899</v>
      </c>
      <c r="H310" s="35">
        <f t="shared" si="21"/>
        <v>13966966</v>
      </c>
    </row>
    <row r="311" spans="1:9" ht="15.75" customHeight="1">
      <c r="A311" s="59"/>
      <c r="B311" s="61"/>
      <c r="C311" s="61"/>
      <c r="E311" s="30" t="s">
        <v>854</v>
      </c>
      <c r="F311" s="51">
        <v>0</v>
      </c>
      <c r="G311" s="46">
        <v>1673012</v>
      </c>
      <c r="H311" s="35">
        <f t="shared" si="21"/>
        <v>1673012</v>
      </c>
    </row>
    <row r="312" spans="1:9" ht="15.75" customHeight="1">
      <c r="A312" s="59"/>
      <c r="B312" s="61"/>
      <c r="C312" s="61"/>
      <c r="E312" s="30" t="s">
        <v>855</v>
      </c>
      <c r="F312" s="46">
        <v>722320</v>
      </c>
      <c r="G312" s="46">
        <v>485253</v>
      </c>
      <c r="H312" s="35">
        <f t="shared" si="21"/>
        <v>1207573</v>
      </c>
    </row>
    <row r="313" spans="1:9" ht="15.75" customHeight="1">
      <c r="A313" s="59"/>
      <c r="B313" s="61"/>
      <c r="C313" s="61"/>
      <c r="E313" s="30" t="s">
        <v>847</v>
      </c>
      <c r="F313" s="46">
        <v>293000</v>
      </c>
      <c r="G313" s="46"/>
      <c r="H313" s="35">
        <f t="shared" si="21"/>
        <v>293000</v>
      </c>
    </row>
    <row r="314" spans="1:9" ht="15.75" customHeight="1">
      <c r="A314" s="59"/>
      <c r="B314" s="61"/>
      <c r="C314" s="61"/>
      <c r="E314" s="30" t="s">
        <v>856</v>
      </c>
      <c r="F314" s="46">
        <v>40000</v>
      </c>
      <c r="G314" s="46"/>
      <c r="H314" s="35">
        <f t="shared" si="21"/>
        <v>40000</v>
      </c>
    </row>
    <row r="315" spans="1:9" ht="15.75" customHeight="1">
      <c r="A315" s="59"/>
      <c r="B315" s="61"/>
      <c r="C315" s="61"/>
      <c r="E315" s="30" t="s">
        <v>782</v>
      </c>
      <c r="F315" s="46">
        <v>181020</v>
      </c>
      <c r="G315" s="46"/>
      <c r="H315" s="35">
        <f t="shared" si="21"/>
        <v>181020</v>
      </c>
    </row>
    <row r="316" spans="1:9" ht="15.75" customHeight="1">
      <c r="A316" s="59"/>
      <c r="B316" s="61"/>
      <c r="C316" s="61"/>
      <c r="E316" s="30" t="s">
        <v>857</v>
      </c>
      <c r="F316" s="46">
        <v>271000</v>
      </c>
      <c r="G316" s="46"/>
      <c r="H316" s="35">
        <f t="shared" si="21"/>
        <v>271000</v>
      </c>
    </row>
    <row r="317" spans="1:9" ht="15.75" customHeight="1">
      <c r="A317" s="59"/>
      <c r="B317" s="56"/>
      <c r="C317" s="56"/>
      <c r="E317" s="30" t="s">
        <v>849</v>
      </c>
      <c r="F317" s="46">
        <v>296000</v>
      </c>
      <c r="G317" s="46"/>
      <c r="H317" s="35">
        <f t="shared" si="21"/>
        <v>296000</v>
      </c>
    </row>
    <row r="318" spans="1:9" ht="6.75" customHeight="1">
      <c r="A318" s="6"/>
      <c r="B318" s="50"/>
      <c r="C318" s="30"/>
      <c r="E318" s="30"/>
      <c r="F318" s="49"/>
      <c r="G318" s="49"/>
      <c r="H318" s="35"/>
    </row>
    <row r="319" spans="1:9" ht="15.75" customHeight="1">
      <c r="A319" s="58">
        <v>14</v>
      </c>
      <c r="B319" s="60" t="s">
        <v>858</v>
      </c>
      <c r="C319" s="57" t="s">
        <v>859</v>
      </c>
      <c r="E319" s="30" t="s">
        <v>841</v>
      </c>
      <c r="F319" s="46">
        <v>1617449</v>
      </c>
      <c r="G319" s="46">
        <v>3491375</v>
      </c>
      <c r="H319" s="35">
        <f t="shared" ref="H319:H328" si="22">F319+G319</f>
        <v>5108824</v>
      </c>
    </row>
    <row r="320" spans="1:9" ht="15.75" customHeight="1">
      <c r="A320" s="59"/>
      <c r="B320" s="61"/>
      <c r="C320" s="61"/>
      <c r="E320" s="30" t="s">
        <v>842</v>
      </c>
      <c r="F320" s="46">
        <v>4163400</v>
      </c>
      <c r="G320" s="46">
        <v>6391120</v>
      </c>
      <c r="H320" s="35">
        <f t="shared" si="22"/>
        <v>10554520</v>
      </c>
    </row>
    <row r="321" spans="1:8" ht="15.75" customHeight="1">
      <c r="A321" s="59"/>
      <c r="B321" s="61"/>
      <c r="C321" s="61"/>
      <c r="E321" s="30" t="s">
        <v>843</v>
      </c>
      <c r="F321" s="46">
        <v>2297389</v>
      </c>
      <c r="G321" s="46">
        <v>9989450</v>
      </c>
      <c r="H321" s="35">
        <f t="shared" si="22"/>
        <v>12286839</v>
      </c>
    </row>
    <row r="322" spans="1:8" ht="15.75" customHeight="1">
      <c r="A322" s="59"/>
      <c r="B322" s="61"/>
      <c r="C322" s="61"/>
      <c r="E322" s="30" t="s">
        <v>844</v>
      </c>
      <c r="F322" s="46">
        <v>500577</v>
      </c>
      <c r="G322" s="46">
        <v>800000</v>
      </c>
      <c r="H322" s="35">
        <f t="shared" si="22"/>
        <v>1300577</v>
      </c>
    </row>
    <row r="323" spans="1:8" ht="15.75" customHeight="1">
      <c r="A323" s="59"/>
      <c r="B323" s="61"/>
      <c r="C323" s="61"/>
      <c r="E323" s="30" t="s">
        <v>854</v>
      </c>
      <c r="F323" s="46">
        <v>11304120</v>
      </c>
      <c r="G323" s="46">
        <v>1458000</v>
      </c>
      <c r="H323" s="35">
        <f t="shared" si="22"/>
        <v>12762120</v>
      </c>
    </row>
    <row r="324" spans="1:8" ht="15.75" customHeight="1">
      <c r="A324" s="59"/>
      <c r="B324" s="61"/>
      <c r="C324" s="61"/>
      <c r="E324" s="30" t="s">
        <v>855</v>
      </c>
      <c r="F324" s="46">
        <v>500060</v>
      </c>
      <c r="G324" s="46">
        <v>557000</v>
      </c>
      <c r="H324" s="35">
        <f t="shared" si="22"/>
        <v>1057060</v>
      </c>
    </row>
    <row r="325" spans="1:8" ht="15.75" customHeight="1">
      <c r="A325" s="59"/>
      <c r="B325" s="61"/>
      <c r="C325" s="61"/>
      <c r="E325" s="30" t="s">
        <v>847</v>
      </c>
      <c r="F325" s="46">
        <v>207100</v>
      </c>
      <c r="G325" s="46"/>
      <c r="H325" s="35">
        <f t="shared" si="22"/>
        <v>207100</v>
      </c>
    </row>
    <row r="326" spans="1:8" ht="15.75" customHeight="1">
      <c r="A326" s="59"/>
      <c r="B326" s="61"/>
      <c r="C326" s="61"/>
      <c r="E326" s="30" t="s">
        <v>782</v>
      </c>
      <c r="F326" s="46">
        <v>180920</v>
      </c>
      <c r="G326" s="46"/>
      <c r="H326" s="35">
        <f t="shared" si="22"/>
        <v>180920</v>
      </c>
    </row>
    <row r="327" spans="1:8" ht="15.75" customHeight="1">
      <c r="A327" s="59"/>
      <c r="B327" s="61"/>
      <c r="C327" s="61"/>
      <c r="E327" s="30" t="s">
        <v>848</v>
      </c>
      <c r="F327" s="46">
        <v>180000</v>
      </c>
      <c r="G327" s="46"/>
      <c r="H327" s="35">
        <f t="shared" si="22"/>
        <v>180000</v>
      </c>
    </row>
    <row r="328" spans="1:8" ht="15.75" customHeight="1">
      <c r="A328" s="59"/>
      <c r="B328" s="56"/>
      <c r="C328" s="56"/>
      <c r="E328" s="30" t="s">
        <v>860</v>
      </c>
      <c r="F328" s="46">
        <v>300000</v>
      </c>
      <c r="G328" s="46"/>
      <c r="H328" s="35">
        <f t="shared" si="22"/>
        <v>300000</v>
      </c>
    </row>
    <row r="329" spans="1:8" ht="6" customHeight="1">
      <c r="A329" s="6"/>
      <c r="B329" s="50"/>
      <c r="C329" s="30"/>
      <c r="E329" s="30"/>
      <c r="F329" s="49"/>
      <c r="G329" s="49"/>
      <c r="H329" s="35"/>
    </row>
    <row r="330" spans="1:8" ht="15.75" customHeight="1">
      <c r="A330" s="58">
        <v>13</v>
      </c>
      <c r="B330" s="60" t="s">
        <v>861</v>
      </c>
      <c r="C330" s="57" t="s">
        <v>862</v>
      </c>
      <c r="E330" s="30" t="s">
        <v>863</v>
      </c>
      <c r="F330" s="46">
        <v>13271994</v>
      </c>
      <c r="G330" s="46">
        <v>11740632</v>
      </c>
      <c r="H330" s="35">
        <f t="shared" ref="H330:H335" si="23">F330+G330</f>
        <v>25012626</v>
      </c>
    </row>
    <row r="331" spans="1:8" ht="15.75" customHeight="1">
      <c r="A331" s="59"/>
      <c r="B331" s="61"/>
      <c r="C331" s="61"/>
      <c r="E331" s="30" t="s">
        <v>864</v>
      </c>
      <c r="F331" s="46">
        <v>1370593</v>
      </c>
      <c r="G331" s="46">
        <v>2897140</v>
      </c>
      <c r="H331" s="35">
        <f t="shared" si="23"/>
        <v>4267733</v>
      </c>
    </row>
    <row r="332" spans="1:8" ht="15.75" customHeight="1">
      <c r="A332" s="59"/>
      <c r="B332" s="61"/>
      <c r="C332" s="61"/>
      <c r="E332" s="30" t="s">
        <v>865</v>
      </c>
      <c r="F332" s="46">
        <v>150000</v>
      </c>
      <c r="G332" s="46"/>
      <c r="H332" s="35">
        <f t="shared" si="23"/>
        <v>150000</v>
      </c>
    </row>
    <row r="333" spans="1:8" ht="15.75" customHeight="1">
      <c r="A333" s="59"/>
      <c r="B333" s="61"/>
      <c r="C333" s="61"/>
      <c r="E333" s="30" t="s">
        <v>866</v>
      </c>
      <c r="F333" s="46">
        <v>300000</v>
      </c>
      <c r="G333" s="46"/>
      <c r="H333" s="35">
        <f t="shared" si="23"/>
        <v>300000</v>
      </c>
    </row>
    <row r="334" spans="1:8" ht="15.75" customHeight="1">
      <c r="A334" s="59"/>
      <c r="B334" s="61"/>
      <c r="C334" s="61"/>
      <c r="E334" s="30" t="s">
        <v>867</v>
      </c>
      <c r="F334" s="46">
        <v>170000</v>
      </c>
      <c r="G334" s="46"/>
      <c r="H334" s="35">
        <f t="shared" si="23"/>
        <v>170000</v>
      </c>
    </row>
    <row r="335" spans="1:8" ht="15.75" customHeight="1">
      <c r="A335" s="59"/>
      <c r="B335" s="56"/>
      <c r="C335" s="56"/>
      <c r="E335" s="30" t="s">
        <v>868</v>
      </c>
      <c r="F335" s="46">
        <v>225000</v>
      </c>
      <c r="G335" s="46"/>
      <c r="H335" s="35">
        <f t="shared" si="23"/>
        <v>225000</v>
      </c>
    </row>
    <row r="336" spans="1:8" ht="8.25" customHeight="1">
      <c r="A336" s="6"/>
      <c r="B336" s="50"/>
      <c r="C336" s="30"/>
      <c r="E336" s="30"/>
      <c r="F336" s="49"/>
      <c r="G336" s="49"/>
      <c r="H336" s="35"/>
    </row>
    <row r="337" spans="1:11" ht="15.75" customHeight="1">
      <c r="A337" s="58">
        <v>12</v>
      </c>
      <c r="B337" s="60" t="s">
        <v>869</v>
      </c>
      <c r="C337" s="57" t="s">
        <v>870</v>
      </c>
      <c r="E337" s="30" t="s">
        <v>871</v>
      </c>
      <c r="F337" s="46">
        <v>10259738</v>
      </c>
      <c r="G337" s="46">
        <v>1941400</v>
      </c>
      <c r="H337" s="35">
        <f t="shared" ref="H337:H342" si="24">F337+G337</f>
        <v>12201138</v>
      </c>
    </row>
    <row r="338" spans="1:11" ht="15.75" customHeight="1">
      <c r="A338" s="59"/>
      <c r="B338" s="61"/>
      <c r="C338" s="61"/>
      <c r="E338" s="30" t="s">
        <v>872</v>
      </c>
      <c r="F338" s="46">
        <v>715293</v>
      </c>
      <c r="G338" s="46">
        <v>3701500</v>
      </c>
      <c r="H338" s="35">
        <f t="shared" si="24"/>
        <v>4416793</v>
      </c>
    </row>
    <row r="339" spans="1:11" ht="15.75" customHeight="1">
      <c r="A339" s="59"/>
      <c r="B339" s="61"/>
      <c r="C339" s="61"/>
      <c r="E339" s="30" t="s">
        <v>873</v>
      </c>
      <c r="F339" s="52">
        <v>150000</v>
      </c>
      <c r="G339" s="46"/>
      <c r="H339" s="35">
        <f t="shared" si="24"/>
        <v>150000</v>
      </c>
    </row>
    <row r="340" spans="1:11" ht="15.75" customHeight="1">
      <c r="A340" s="59"/>
      <c r="B340" s="61"/>
      <c r="C340" s="61"/>
      <c r="E340" s="30" t="s">
        <v>874</v>
      </c>
      <c r="F340" s="46">
        <v>600000</v>
      </c>
      <c r="G340" s="46"/>
      <c r="H340" s="35">
        <f t="shared" si="24"/>
        <v>600000</v>
      </c>
    </row>
    <row r="341" spans="1:11" ht="15.75" customHeight="1">
      <c r="A341" s="59"/>
      <c r="B341" s="61"/>
      <c r="C341" s="61"/>
      <c r="E341" s="30" t="s">
        <v>875</v>
      </c>
      <c r="F341" s="46">
        <v>250000</v>
      </c>
      <c r="G341" s="46"/>
      <c r="H341" s="35">
        <f t="shared" si="24"/>
        <v>250000</v>
      </c>
    </row>
    <row r="342" spans="1:11" ht="15.75" customHeight="1">
      <c r="A342" s="59"/>
      <c r="B342" s="56"/>
      <c r="C342" s="56"/>
      <c r="E342" s="30" t="s">
        <v>876</v>
      </c>
      <c r="F342" s="46">
        <v>300000</v>
      </c>
      <c r="G342" s="46"/>
      <c r="H342" s="35">
        <f t="shared" si="24"/>
        <v>300000</v>
      </c>
    </row>
    <row r="343" spans="1:11" ht="7.5" customHeight="1">
      <c r="A343" s="6"/>
      <c r="B343" s="50"/>
      <c r="C343" s="30"/>
      <c r="E343" s="30"/>
      <c r="F343" s="49"/>
      <c r="G343" s="49"/>
      <c r="H343" s="35"/>
    </row>
    <row r="344" spans="1:11" ht="15.75" customHeight="1">
      <c r="A344" s="58">
        <v>11</v>
      </c>
      <c r="B344" s="60" t="s">
        <v>877</v>
      </c>
      <c r="C344" s="57" t="s">
        <v>878</v>
      </c>
      <c r="E344" s="30" t="s">
        <v>863</v>
      </c>
      <c r="F344" s="46">
        <v>24800004</v>
      </c>
      <c r="G344" s="46">
        <v>3349375</v>
      </c>
      <c r="H344" s="35">
        <f t="shared" ref="H344:H349" si="25">F344+G344</f>
        <v>28149379</v>
      </c>
    </row>
    <row r="345" spans="1:11" ht="15.75" customHeight="1">
      <c r="A345" s="59"/>
      <c r="B345" s="61"/>
      <c r="C345" s="61"/>
      <c r="E345" s="30" t="s">
        <v>879</v>
      </c>
      <c r="F345" s="46">
        <v>2090960</v>
      </c>
      <c r="G345" s="46">
        <v>1500000</v>
      </c>
      <c r="H345" s="35">
        <f t="shared" si="25"/>
        <v>3590960</v>
      </c>
      <c r="I345" s="53"/>
      <c r="J345" s="49"/>
      <c r="K345" s="49"/>
    </row>
    <row r="346" spans="1:11" ht="15.75" customHeight="1">
      <c r="A346" s="59"/>
      <c r="B346" s="61"/>
      <c r="C346" s="61"/>
      <c r="E346" s="30" t="s">
        <v>880</v>
      </c>
      <c r="F346" s="46">
        <f>100000+528530</f>
        <v>628530</v>
      </c>
      <c r="G346" s="46">
        <v>70000</v>
      </c>
      <c r="H346" s="35">
        <f t="shared" si="25"/>
        <v>698530</v>
      </c>
      <c r="I346" s="53"/>
      <c r="J346" s="49"/>
      <c r="K346" s="49"/>
    </row>
    <row r="347" spans="1:11" ht="15.75" customHeight="1">
      <c r="A347" s="59"/>
      <c r="B347" s="61"/>
      <c r="C347" s="61"/>
      <c r="E347" s="30" t="s">
        <v>866</v>
      </c>
      <c r="F347" s="46">
        <f>1675000+800000</f>
        <v>2475000</v>
      </c>
      <c r="G347" s="46">
        <v>100000</v>
      </c>
      <c r="H347" s="35">
        <f t="shared" si="25"/>
        <v>2575000</v>
      </c>
      <c r="I347" s="53"/>
      <c r="J347" s="49"/>
      <c r="K347" s="49"/>
    </row>
    <row r="348" spans="1:11" ht="15.75" customHeight="1">
      <c r="A348" s="59"/>
      <c r="B348" s="61"/>
      <c r="C348" s="61"/>
      <c r="E348" s="30" t="s">
        <v>881</v>
      </c>
      <c r="F348" s="46">
        <v>150000</v>
      </c>
      <c r="G348" s="46">
        <v>3310570</v>
      </c>
      <c r="H348" s="35">
        <f t="shared" si="25"/>
        <v>3460570</v>
      </c>
      <c r="I348" s="53"/>
      <c r="J348" s="49"/>
      <c r="K348" s="49"/>
    </row>
    <row r="349" spans="1:11" ht="27" customHeight="1">
      <c r="A349" s="59"/>
      <c r="B349" s="56"/>
      <c r="C349" s="56"/>
      <c r="E349" s="30" t="s">
        <v>882</v>
      </c>
      <c r="F349" s="46">
        <f>350000+3274833</f>
        <v>3624833</v>
      </c>
      <c r="G349" s="46">
        <v>194000</v>
      </c>
      <c r="H349" s="35">
        <f t="shared" si="25"/>
        <v>3818833</v>
      </c>
      <c r="I349" s="53"/>
      <c r="J349" s="49"/>
      <c r="K349" s="49"/>
    </row>
    <row r="350" spans="1:11" ht="9" customHeight="1">
      <c r="A350" s="6"/>
      <c r="B350" s="50"/>
      <c r="C350" s="30"/>
      <c r="E350" s="30"/>
      <c r="F350" s="46"/>
      <c r="G350" s="46"/>
      <c r="I350" s="53"/>
    </row>
    <row r="351" spans="1:11" ht="15.75" customHeight="1">
      <c r="A351" s="58">
        <v>10</v>
      </c>
      <c r="B351" s="60" t="s">
        <v>883</v>
      </c>
      <c r="C351" s="57" t="s">
        <v>884</v>
      </c>
      <c r="E351" s="30" t="s">
        <v>885</v>
      </c>
      <c r="F351" s="46">
        <v>2006326</v>
      </c>
      <c r="G351" s="46">
        <v>2000000</v>
      </c>
      <c r="H351" s="43">
        <f t="shared" ref="H351:H356" si="26">F351+G351</f>
        <v>4006326</v>
      </c>
      <c r="I351" s="53"/>
    </row>
    <row r="352" spans="1:11">
      <c r="A352" s="59"/>
      <c r="B352" s="61"/>
      <c r="C352" s="61"/>
      <c r="E352" s="30" t="s">
        <v>863</v>
      </c>
      <c r="F352" s="46">
        <v>22443087</v>
      </c>
      <c r="G352" s="46">
        <v>5019375</v>
      </c>
      <c r="H352" s="43">
        <f t="shared" si="26"/>
        <v>27462462</v>
      </c>
      <c r="I352" s="53"/>
    </row>
    <row r="353" spans="1:9">
      <c r="A353" s="59"/>
      <c r="B353" s="61"/>
      <c r="C353" s="61"/>
      <c r="E353" s="30" t="s">
        <v>866</v>
      </c>
      <c r="F353" s="46">
        <v>800000</v>
      </c>
      <c r="G353" s="46">
        <v>100000</v>
      </c>
      <c r="H353" s="43">
        <f t="shared" si="26"/>
        <v>900000</v>
      </c>
      <c r="I353" s="53"/>
    </row>
    <row r="354" spans="1:9">
      <c r="A354" s="59"/>
      <c r="B354" s="61"/>
      <c r="C354" s="61"/>
      <c r="E354" s="30" t="s">
        <v>886</v>
      </c>
      <c r="F354" s="46">
        <v>528500</v>
      </c>
      <c r="G354" s="43"/>
      <c r="H354" s="43">
        <f t="shared" si="26"/>
        <v>528500</v>
      </c>
      <c r="I354" s="53"/>
    </row>
    <row r="355" spans="1:9">
      <c r="A355" s="59"/>
      <c r="B355" s="61"/>
      <c r="C355" s="61"/>
      <c r="E355" s="30" t="s">
        <v>887</v>
      </c>
      <c r="F355" s="46">
        <v>1870078</v>
      </c>
      <c r="G355" s="43"/>
      <c r="H355" s="43">
        <f t="shared" si="26"/>
        <v>1870078</v>
      </c>
      <c r="I355" s="53"/>
    </row>
    <row r="356" spans="1:9">
      <c r="A356" s="59"/>
      <c r="B356" s="56"/>
      <c r="C356" s="56"/>
      <c r="E356" s="30" t="s">
        <v>888</v>
      </c>
      <c r="F356" s="46">
        <v>3274833</v>
      </c>
      <c r="G356" s="52">
        <v>194000</v>
      </c>
      <c r="H356" s="43">
        <f t="shared" si="26"/>
        <v>3468833</v>
      </c>
      <c r="I356" s="53"/>
    </row>
    <row r="357" spans="1:9" ht="9" customHeight="1">
      <c r="A357" s="6"/>
      <c r="B357" s="7"/>
      <c r="C357" s="30"/>
      <c r="E357" s="30"/>
      <c r="F357" s="49"/>
      <c r="I357" s="53"/>
    </row>
    <row r="358" spans="1:9">
      <c r="A358" s="58">
        <v>9</v>
      </c>
      <c r="B358" s="55" t="s">
        <v>889</v>
      </c>
      <c r="C358" s="57" t="s">
        <v>890</v>
      </c>
      <c r="E358" s="30" t="s">
        <v>891</v>
      </c>
      <c r="F358" s="46">
        <v>2813729</v>
      </c>
      <c r="G358" s="43"/>
      <c r="H358" s="43">
        <f t="shared" ref="H358:H359" si="27">F358+G358</f>
        <v>2813729</v>
      </c>
      <c r="I358" s="53"/>
    </row>
    <row r="359" spans="1:9">
      <c r="A359" s="59"/>
      <c r="B359" s="56"/>
      <c r="C359" s="56"/>
      <c r="E359" s="30" t="s">
        <v>892</v>
      </c>
      <c r="F359" s="46">
        <v>7470000</v>
      </c>
      <c r="G359" s="43"/>
      <c r="H359" s="43">
        <f t="shared" si="27"/>
        <v>7470000</v>
      </c>
      <c r="I359" s="53"/>
    </row>
    <row r="360" spans="1:9" ht="8.25" customHeight="1">
      <c r="A360" s="6"/>
      <c r="B360" s="50"/>
      <c r="C360" s="30"/>
      <c r="E360" s="30"/>
      <c r="F360" s="46"/>
      <c r="G360" s="43"/>
      <c r="I360" s="53"/>
    </row>
    <row r="361" spans="1:9">
      <c r="A361" s="58">
        <v>8</v>
      </c>
      <c r="B361" s="60" t="s">
        <v>893</v>
      </c>
      <c r="C361" s="57" t="s">
        <v>894</v>
      </c>
      <c r="E361" s="30" t="s">
        <v>891</v>
      </c>
      <c r="F361" s="46">
        <v>2676022</v>
      </c>
      <c r="G361" s="43"/>
      <c r="H361" s="43">
        <f t="shared" ref="H361:H366" si="28">F361+G361</f>
        <v>2676022</v>
      </c>
      <c r="I361" s="53"/>
    </row>
    <row r="362" spans="1:9">
      <c r="A362" s="59"/>
      <c r="B362" s="61"/>
      <c r="C362" s="61"/>
      <c r="E362" s="30" t="s">
        <v>892</v>
      </c>
      <c r="F362" s="46">
        <v>3290108</v>
      </c>
      <c r="G362" s="43"/>
      <c r="H362" s="43">
        <f t="shared" si="28"/>
        <v>3290108</v>
      </c>
      <c r="I362" s="53"/>
    </row>
    <row r="363" spans="1:9" ht="15.75" customHeight="1">
      <c r="A363" s="59"/>
      <c r="B363" s="61"/>
      <c r="C363" s="61"/>
      <c r="E363" s="30" t="s">
        <v>827</v>
      </c>
      <c r="F363" s="46">
        <v>420000</v>
      </c>
      <c r="G363" s="43"/>
      <c r="H363" s="43">
        <f t="shared" si="28"/>
        <v>420000</v>
      </c>
      <c r="I363" s="53"/>
    </row>
    <row r="364" spans="1:9" ht="15.75" customHeight="1">
      <c r="A364" s="59"/>
      <c r="B364" s="61"/>
      <c r="C364" s="61"/>
      <c r="E364" s="30" t="s">
        <v>829</v>
      </c>
      <c r="F364" s="46">
        <v>550000</v>
      </c>
      <c r="G364" s="43"/>
      <c r="H364" s="43">
        <f t="shared" si="28"/>
        <v>550000</v>
      </c>
      <c r="I364" s="53"/>
    </row>
    <row r="365" spans="1:9" ht="15.75" customHeight="1">
      <c r="A365" s="59"/>
      <c r="B365" s="61"/>
      <c r="C365" s="61"/>
      <c r="E365" s="30" t="s">
        <v>895</v>
      </c>
      <c r="F365" s="46">
        <v>3014256</v>
      </c>
      <c r="G365" s="43"/>
      <c r="H365" s="43">
        <f t="shared" si="28"/>
        <v>3014256</v>
      </c>
      <c r="I365" s="53"/>
    </row>
    <row r="366" spans="1:9" ht="15.75" customHeight="1">
      <c r="A366" s="59"/>
      <c r="B366" s="56"/>
      <c r="C366" s="56"/>
      <c r="E366" s="30" t="s">
        <v>818</v>
      </c>
      <c r="F366" s="46">
        <v>1238158</v>
      </c>
      <c r="G366" s="43"/>
      <c r="H366" s="43">
        <f t="shared" si="28"/>
        <v>1238158</v>
      </c>
      <c r="I366" s="53"/>
    </row>
    <row r="367" spans="1:9" ht="6.75" customHeight="1">
      <c r="A367" s="6"/>
      <c r="B367" s="50"/>
      <c r="C367" s="30"/>
      <c r="E367" s="30"/>
      <c r="F367" s="49"/>
      <c r="I367" s="53"/>
    </row>
    <row r="368" spans="1:9">
      <c r="A368" s="58">
        <v>7</v>
      </c>
      <c r="B368" s="60" t="s">
        <v>896</v>
      </c>
      <c r="C368" s="57" t="s">
        <v>897</v>
      </c>
      <c r="E368" s="30" t="s">
        <v>891</v>
      </c>
      <c r="F368" s="46">
        <v>273433</v>
      </c>
      <c r="G368" s="43"/>
      <c r="H368" s="43">
        <f t="shared" ref="H368:H373" si="29">F368+G368</f>
        <v>273433</v>
      </c>
      <c r="I368" s="53"/>
    </row>
    <row r="369" spans="1:9">
      <c r="A369" s="59"/>
      <c r="B369" s="61"/>
      <c r="C369" s="61"/>
      <c r="E369" s="30" t="s">
        <v>892</v>
      </c>
      <c r="F369" s="46">
        <v>6778000</v>
      </c>
      <c r="G369" s="43"/>
      <c r="H369" s="43">
        <f t="shared" si="29"/>
        <v>6778000</v>
      </c>
      <c r="I369" s="53"/>
    </row>
    <row r="370" spans="1:9" ht="15.75" customHeight="1">
      <c r="A370" s="59"/>
      <c r="B370" s="61"/>
      <c r="C370" s="61"/>
      <c r="E370" s="30" t="s">
        <v>827</v>
      </c>
      <c r="F370" s="46">
        <v>441500</v>
      </c>
      <c r="G370" s="43"/>
      <c r="H370" s="43">
        <f t="shared" si="29"/>
        <v>441500</v>
      </c>
      <c r="I370" s="53"/>
    </row>
    <row r="371" spans="1:9" ht="15.75" customHeight="1">
      <c r="A371" s="59"/>
      <c r="B371" s="61"/>
      <c r="C371" s="61"/>
      <c r="E371" s="30" t="s">
        <v>829</v>
      </c>
      <c r="F371" s="52">
        <v>420788</v>
      </c>
      <c r="G371" s="43"/>
      <c r="H371" s="43">
        <f t="shared" si="29"/>
        <v>420788</v>
      </c>
      <c r="I371" s="53"/>
    </row>
    <row r="372" spans="1:9" ht="15.75" customHeight="1">
      <c r="A372" s="59"/>
      <c r="B372" s="61"/>
      <c r="C372" s="61"/>
      <c r="E372" s="30" t="s">
        <v>895</v>
      </c>
      <c r="F372" s="46">
        <v>3295294</v>
      </c>
      <c r="G372" s="43"/>
      <c r="H372" s="43">
        <f t="shared" si="29"/>
        <v>3295294</v>
      </c>
      <c r="I372" s="53"/>
    </row>
    <row r="373" spans="1:9" ht="15.75" customHeight="1">
      <c r="A373" s="59"/>
      <c r="B373" s="56"/>
      <c r="C373" s="56"/>
      <c r="E373" s="30" t="s">
        <v>818</v>
      </c>
      <c r="F373" s="46">
        <v>1562525</v>
      </c>
      <c r="G373" s="43"/>
      <c r="H373" s="43">
        <f t="shared" si="29"/>
        <v>1562525</v>
      </c>
      <c r="I373" s="53"/>
    </row>
    <row r="374" spans="1:9" ht="8.25" customHeight="1">
      <c r="A374" s="6"/>
      <c r="B374" s="7"/>
      <c r="C374" s="30"/>
      <c r="E374" s="30"/>
      <c r="F374" s="46"/>
      <c r="G374" s="43"/>
      <c r="I374" s="53"/>
    </row>
    <row r="375" spans="1:9">
      <c r="A375" s="58">
        <v>6</v>
      </c>
      <c r="B375" s="55" t="s">
        <v>898</v>
      </c>
      <c r="C375" s="57" t="s">
        <v>899</v>
      </c>
      <c r="E375" s="30" t="s">
        <v>891</v>
      </c>
      <c r="F375" s="46">
        <v>3801232</v>
      </c>
      <c r="G375" s="43"/>
      <c r="H375" s="43">
        <f t="shared" ref="H375:H376" si="30">F375+G375</f>
        <v>3801232</v>
      </c>
      <c r="I375" s="53"/>
    </row>
    <row r="376" spans="1:9">
      <c r="A376" s="59"/>
      <c r="B376" s="56"/>
      <c r="C376" s="56"/>
      <c r="E376" s="30" t="s">
        <v>892</v>
      </c>
      <c r="F376" s="46">
        <v>7318598</v>
      </c>
      <c r="G376" s="52">
        <v>61920</v>
      </c>
      <c r="H376" s="43">
        <f t="shared" si="30"/>
        <v>7380518</v>
      </c>
      <c r="I376" s="53"/>
    </row>
    <row r="377" spans="1:9" ht="6.75" customHeight="1">
      <c r="A377" s="6"/>
      <c r="B377" s="7"/>
      <c r="C377" s="30"/>
      <c r="E377" s="30"/>
      <c r="F377" s="46"/>
      <c r="G377" s="43"/>
      <c r="I377" s="53"/>
    </row>
    <row r="378" spans="1:9">
      <c r="A378" s="58">
        <v>5</v>
      </c>
      <c r="B378" s="55" t="s">
        <v>900</v>
      </c>
      <c r="C378" s="57" t="s">
        <v>901</v>
      </c>
      <c r="E378" s="30" t="s">
        <v>891</v>
      </c>
      <c r="F378" s="46">
        <v>5634414</v>
      </c>
      <c r="G378" s="43"/>
      <c r="H378" s="43">
        <f t="shared" ref="H378:H379" si="31">F378+G378</f>
        <v>5634414</v>
      </c>
      <c r="I378" s="53"/>
    </row>
    <row r="379" spans="1:9" ht="15.75" customHeight="1">
      <c r="A379" s="59"/>
      <c r="B379" s="56"/>
      <c r="C379" s="56"/>
      <c r="E379" s="30" t="s">
        <v>892</v>
      </c>
      <c r="F379" s="46">
        <v>12584633</v>
      </c>
      <c r="G379" s="52">
        <v>753953</v>
      </c>
      <c r="H379" s="43">
        <f t="shared" si="31"/>
        <v>13338586</v>
      </c>
      <c r="I379" s="53"/>
    </row>
    <row r="380" spans="1:9" ht="6" customHeight="1">
      <c r="A380" s="6"/>
      <c r="B380" s="7"/>
      <c r="C380" s="30"/>
      <c r="E380" s="30"/>
      <c r="F380" s="46"/>
      <c r="G380" s="43"/>
      <c r="I380" s="53"/>
    </row>
    <row r="381" spans="1:9" ht="15.75" customHeight="1">
      <c r="A381" s="58">
        <v>4</v>
      </c>
      <c r="B381" s="55" t="s">
        <v>902</v>
      </c>
      <c r="C381" s="57" t="s">
        <v>903</v>
      </c>
      <c r="E381" s="30" t="s">
        <v>891</v>
      </c>
      <c r="F381" s="46">
        <v>809755020</v>
      </c>
      <c r="G381" s="43"/>
      <c r="H381" s="43">
        <f t="shared" ref="H381:H385" si="32">F381+G381</f>
        <v>809755020</v>
      </c>
      <c r="I381" s="53"/>
    </row>
    <row r="382" spans="1:9" ht="15.75" customHeight="1">
      <c r="A382" s="59"/>
      <c r="B382" s="56"/>
      <c r="C382" s="56"/>
      <c r="E382" s="30" t="s">
        <v>892</v>
      </c>
      <c r="F382" s="46">
        <v>2125483302</v>
      </c>
      <c r="G382" s="52">
        <v>71451</v>
      </c>
      <c r="H382" s="43">
        <f t="shared" si="32"/>
        <v>2125554753</v>
      </c>
      <c r="I382" s="53"/>
    </row>
    <row r="383" spans="1:9" ht="4.5" customHeight="1">
      <c r="A383" s="6"/>
      <c r="B383" s="7"/>
      <c r="C383" s="30"/>
      <c r="E383" s="30"/>
      <c r="F383" s="46"/>
      <c r="G383" s="43"/>
      <c r="H383" s="43">
        <f t="shared" si="32"/>
        <v>0</v>
      </c>
      <c r="I383" s="53"/>
    </row>
    <row r="384" spans="1:9">
      <c r="A384" s="58">
        <v>3</v>
      </c>
      <c r="B384" s="55" t="s">
        <v>904</v>
      </c>
      <c r="C384" s="57" t="s">
        <v>905</v>
      </c>
      <c r="E384" s="30" t="s">
        <v>891</v>
      </c>
      <c r="F384" s="46">
        <v>37746089</v>
      </c>
      <c r="G384" s="43"/>
      <c r="H384" s="43">
        <f t="shared" si="32"/>
        <v>37746089</v>
      </c>
      <c r="I384" s="53"/>
    </row>
    <row r="385" spans="1:9" ht="26.25" customHeight="1">
      <c r="A385" s="59"/>
      <c r="B385" s="56"/>
      <c r="C385" s="56"/>
      <c r="E385" s="30" t="s">
        <v>892</v>
      </c>
      <c r="F385" s="46">
        <v>40171890</v>
      </c>
      <c r="G385" s="52">
        <v>15963819</v>
      </c>
      <c r="H385" s="43">
        <f t="shared" si="32"/>
        <v>56135709</v>
      </c>
      <c r="I385" s="53"/>
    </row>
    <row r="386" spans="1:9" ht="7.5" customHeight="1">
      <c r="A386" s="6"/>
      <c r="B386" s="7"/>
      <c r="C386" s="30"/>
      <c r="E386" s="30"/>
      <c r="F386" s="46"/>
      <c r="G386" s="43"/>
      <c r="I386" s="53"/>
    </row>
    <row r="387" spans="1:9">
      <c r="A387" s="58">
        <v>2</v>
      </c>
      <c r="B387" s="55" t="s">
        <v>906</v>
      </c>
      <c r="C387" s="57" t="s">
        <v>907</v>
      </c>
      <c r="E387" s="30" t="s">
        <v>891</v>
      </c>
      <c r="F387" s="46">
        <v>2284256</v>
      </c>
      <c r="G387" s="43"/>
      <c r="H387" s="43">
        <f t="shared" ref="H387:H388" si="33">F387+G387</f>
        <v>2284256</v>
      </c>
      <c r="I387" s="53"/>
    </row>
    <row r="388" spans="1:9">
      <c r="A388" s="59"/>
      <c r="B388" s="56"/>
      <c r="C388" s="56"/>
      <c r="E388" s="30" t="s">
        <v>892</v>
      </c>
      <c r="F388" s="46">
        <v>2376043</v>
      </c>
      <c r="G388" s="52">
        <v>21582</v>
      </c>
      <c r="H388" s="43">
        <f t="shared" si="33"/>
        <v>2397625</v>
      </c>
      <c r="I388" s="53"/>
    </row>
    <row r="389" spans="1:9" ht="9" customHeight="1">
      <c r="A389" s="6"/>
      <c r="B389" s="7"/>
      <c r="C389" s="30"/>
      <c r="E389" s="30"/>
      <c r="F389" s="52"/>
      <c r="G389" s="43"/>
      <c r="I389" s="53"/>
    </row>
    <row r="390" spans="1:9">
      <c r="A390" s="58">
        <v>1</v>
      </c>
      <c r="B390" s="55" t="s">
        <v>908</v>
      </c>
      <c r="C390" s="57" t="s">
        <v>909</v>
      </c>
      <c r="E390" s="30" t="s">
        <v>910</v>
      </c>
      <c r="F390" s="52">
        <v>114091</v>
      </c>
      <c r="G390" s="43"/>
      <c r="H390" s="43">
        <f t="shared" ref="H390:H391" si="34">F390+G390</f>
        <v>114091</v>
      </c>
      <c r="I390" s="53"/>
    </row>
    <row r="391" spans="1:9">
      <c r="A391" s="59"/>
      <c r="B391" s="56"/>
      <c r="C391" s="56"/>
      <c r="E391" s="30" t="s">
        <v>911</v>
      </c>
      <c r="F391" s="52">
        <v>697470</v>
      </c>
      <c r="G391" s="54"/>
      <c r="H391" s="43">
        <f t="shared" si="34"/>
        <v>697470</v>
      </c>
    </row>
    <row r="392" spans="1:9" ht="15.75" customHeight="1"/>
    <row r="393" spans="1:9" ht="15.75" customHeight="1"/>
    <row r="394" spans="1:9" ht="15.75" customHeight="1"/>
    <row r="395" spans="1:9" ht="15.75" customHeight="1"/>
    <row r="396" spans="1:9" ht="15.75" customHeight="1"/>
    <row r="397" spans="1:9" ht="15.75" customHeight="1"/>
    <row r="398" spans="1:9" ht="15.75" customHeight="1"/>
    <row r="399" spans="1:9" ht="15.75" customHeight="1"/>
    <row r="400" spans="1:9"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row r="1049" ht="15.75" customHeight="1"/>
    <row r="1050" ht="15.75" customHeight="1"/>
    <row r="1051" ht="15.75" customHeight="1"/>
    <row r="1052" ht="15.75" customHeight="1"/>
    <row r="1053" ht="15.75" customHeight="1"/>
    <row r="1054" ht="15.75" customHeight="1"/>
    <row r="1055" ht="15.75" customHeight="1"/>
    <row r="1056" ht="15.75" customHeight="1"/>
    <row r="1057" ht="15.75" customHeight="1"/>
    <row r="1058" ht="15.75" customHeight="1"/>
    <row r="1059" ht="15.75" customHeight="1"/>
    <row r="1060" ht="15.75" customHeight="1"/>
    <row r="1061" ht="15.75" customHeight="1"/>
    <row r="1062" ht="15.75" customHeight="1"/>
    <row r="1063" ht="15.75" customHeight="1"/>
    <row r="1064" ht="15.75" customHeight="1"/>
    <row r="1065" ht="15.75" customHeight="1"/>
    <row r="1066" ht="15.75" customHeight="1"/>
    <row r="1067" ht="15.75" customHeight="1"/>
    <row r="1068" ht="15.75" customHeight="1"/>
    <row r="1069" ht="15.75" customHeight="1"/>
    <row r="1070" ht="15.75" customHeight="1"/>
    <row r="1071" ht="15.75" customHeight="1"/>
    <row r="1072" ht="15.75" customHeight="1"/>
    <row r="1073" ht="15.75" customHeight="1"/>
    <row r="1074" ht="15.75" customHeight="1"/>
    <row r="1075" ht="15.75" customHeight="1"/>
    <row r="1076" ht="15.75" customHeight="1"/>
    <row r="1077" ht="15.75" customHeight="1"/>
    <row r="1078" ht="15.75" customHeight="1"/>
    <row r="1079" ht="15.75" customHeight="1"/>
    <row r="1080" ht="15.75" customHeight="1"/>
    <row r="1081" ht="15.75" customHeight="1"/>
    <row r="1082" ht="15.75" customHeight="1"/>
    <row r="1083" ht="15.75" customHeight="1"/>
    <row r="1084" ht="15.75" customHeight="1"/>
    <row r="1085" ht="15.75" customHeight="1"/>
    <row r="1086" ht="15.75" customHeight="1"/>
    <row r="1087" ht="15.75" customHeight="1"/>
    <row r="1088" ht="15.75" customHeight="1"/>
    <row r="1089" ht="15.75" customHeight="1"/>
    <row r="1090" ht="15.75" customHeight="1"/>
    <row r="1091" ht="15.75" customHeight="1"/>
    <row r="1092" ht="15.75" customHeight="1"/>
    <row r="1093" ht="15.75" customHeight="1"/>
    <row r="1094" ht="15.75" customHeight="1"/>
    <row r="1095" ht="15.75" customHeight="1"/>
    <row r="1096" ht="15.75" customHeight="1"/>
    <row r="1097" ht="15.75" customHeight="1"/>
    <row r="1098" ht="15.75" customHeight="1"/>
    <row r="1099" ht="15.75" customHeight="1"/>
    <row r="1100" ht="15.75" customHeight="1"/>
    <row r="1101" ht="15.75" customHeight="1"/>
    <row r="1102" ht="15.75" customHeight="1"/>
    <row r="1103" ht="15.75" customHeight="1"/>
    <row r="1104" ht="15.75" customHeight="1"/>
    <row r="1105" ht="15.75" customHeight="1"/>
    <row r="1106" ht="15.75" customHeight="1"/>
    <row r="1107" ht="15.75" customHeight="1"/>
    <row r="1108" ht="15.75" customHeight="1"/>
    <row r="1109" ht="15.75" customHeight="1"/>
    <row r="1110" ht="15.75" customHeight="1"/>
    <row r="1111" ht="15.75" customHeight="1"/>
    <row r="1112" ht="15.75" customHeight="1"/>
    <row r="1113" ht="15.75" customHeight="1"/>
    <row r="1114" ht="15.75" customHeight="1"/>
    <row r="1115" ht="15.75" customHeight="1"/>
    <row r="1116" ht="15.75" customHeight="1"/>
    <row r="1117" ht="15.75" customHeight="1"/>
    <row r="1118" ht="15.75" customHeight="1"/>
    <row r="1119" ht="15.75" customHeight="1"/>
    <row r="1120" ht="15.75" customHeight="1"/>
    <row r="1121" ht="15.75" customHeight="1"/>
    <row r="1122" ht="15.75" customHeight="1"/>
    <row r="1123" ht="15.75" customHeight="1"/>
    <row r="1124" ht="15.75" customHeight="1"/>
    <row r="1125" ht="15.75" customHeight="1"/>
    <row r="1126" ht="15.75" customHeight="1"/>
    <row r="1127" ht="15.75" customHeight="1"/>
    <row r="1128" ht="15.75" customHeight="1"/>
    <row r="1129" ht="15.75" customHeight="1"/>
    <row r="1130" ht="15.75" customHeight="1"/>
    <row r="1131" ht="15.75" customHeight="1"/>
    <row r="1132" ht="15.75" customHeight="1"/>
    <row r="1133" ht="15.75" customHeight="1"/>
    <row r="1134" ht="15.75" customHeight="1"/>
    <row r="1135" ht="15.75" customHeight="1"/>
    <row r="1136" ht="15.75" customHeight="1"/>
    <row r="1137" ht="15.75" customHeight="1"/>
    <row r="1138" ht="15.75" customHeight="1"/>
    <row r="1139" ht="15.75" customHeight="1"/>
    <row r="1140" ht="15.75" customHeight="1"/>
    <row r="1141" ht="15.75" customHeight="1"/>
    <row r="1142" ht="15.75" customHeight="1"/>
    <row r="1143" ht="15.75" customHeight="1"/>
    <row r="1144" ht="15.75" customHeight="1"/>
    <row r="1145" ht="15.75" customHeight="1"/>
    <row r="1146" ht="15.75" customHeight="1"/>
    <row r="1147" ht="15.75" customHeight="1"/>
    <row r="1148" ht="15.75" customHeight="1"/>
    <row r="1149" ht="15.75" customHeight="1"/>
    <row r="1150" ht="15.75" customHeight="1"/>
    <row r="1151" ht="15.75" customHeight="1"/>
    <row r="1152" ht="15.75" customHeight="1"/>
    <row r="1153" ht="15.75" customHeight="1"/>
    <row r="1154" ht="15.75" customHeight="1"/>
    <row r="1155" ht="15.75" customHeight="1"/>
    <row r="1156" ht="15.75" customHeight="1"/>
    <row r="1157" ht="15.75" customHeight="1"/>
    <row r="1158" ht="15.75" customHeight="1"/>
    <row r="1159" ht="15.75" customHeight="1"/>
    <row r="1160" ht="15.75" customHeight="1"/>
    <row r="1161" ht="15.75" customHeight="1"/>
    <row r="1162" ht="15.75" customHeight="1"/>
    <row r="1163" ht="15.75" customHeight="1"/>
    <row r="1164" ht="15.75" customHeight="1"/>
    <row r="1165" ht="15.75" customHeight="1"/>
    <row r="1166" ht="15.75" customHeight="1"/>
    <row r="1167" ht="15.75" customHeight="1"/>
    <row r="1168" ht="15.75" customHeight="1"/>
    <row r="1169" ht="15.75" customHeight="1"/>
    <row r="1170" ht="15.75" customHeight="1"/>
    <row r="1171" ht="15.75" customHeight="1"/>
    <row r="1172" ht="15.75" customHeight="1"/>
    <row r="1173" ht="15.75" customHeight="1"/>
    <row r="1174" ht="15.75" customHeight="1"/>
    <row r="1175" ht="15.75" customHeight="1"/>
    <row r="1176" ht="15.75" customHeight="1"/>
    <row r="1177" ht="15.75" customHeight="1"/>
    <row r="1178" ht="15.75" customHeight="1"/>
    <row r="1179" ht="15.75" customHeight="1"/>
    <row r="1180" ht="15.75" customHeight="1"/>
    <row r="1181" ht="15.75" customHeight="1"/>
    <row r="1182" ht="15.75" customHeight="1"/>
    <row r="1183" ht="15.75" customHeight="1"/>
    <row r="1184" ht="15.75" customHeight="1"/>
    <row r="1185" ht="15.75" customHeight="1"/>
    <row r="1186" ht="15.75" customHeight="1"/>
    <row r="1187" ht="15.75" customHeight="1"/>
    <row r="1188" ht="15.75" customHeight="1"/>
    <row r="1189" ht="15.75" customHeight="1"/>
    <row r="1190" ht="15.75" customHeight="1"/>
    <row r="1191" ht="15.75" customHeight="1"/>
    <row r="1192" ht="15.75" customHeight="1"/>
    <row r="1193" ht="15.75" customHeight="1"/>
    <row r="1194" ht="15.75" customHeight="1"/>
    <row r="1195" ht="15.75" customHeight="1"/>
    <row r="1196" ht="15.75" customHeight="1"/>
    <row r="1197" ht="15.75" customHeight="1"/>
    <row r="1198" ht="15.75" customHeight="1"/>
    <row r="1199" ht="15.75" customHeight="1"/>
    <row r="1200" ht="15.75" customHeight="1"/>
    <row r="1201" ht="15.75" customHeight="1"/>
    <row r="1202" ht="15.75" customHeight="1"/>
    <row r="1203" ht="15.75" customHeight="1"/>
    <row r="1204" ht="15.75" customHeight="1"/>
    <row r="1205" ht="15.75" customHeight="1"/>
    <row r="1206" ht="15.75" customHeight="1"/>
    <row r="1207" ht="15.75" customHeight="1"/>
    <row r="1208" ht="15.75" customHeight="1"/>
    <row r="1209" ht="15.75" customHeight="1"/>
    <row r="1210" ht="15.75" customHeight="1"/>
    <row r="1211" ht="15.75" customHeight="1"/>
    <row r="1212" ht="15.75" customHeight="1"/>
    <row r="1213" ht="15.75" customHeight="1"/>
    <row r="1214" ht="15.75" customHeight="1"/>
    <row r="1215" ht="15.75" customHeight="1"/>
    <row r="1216" ht="15.75" customHeight="1"/>
    <row r="1217" ht="15.75" customHeight="1"/>
    <row r="1218" ht="15.75" customHeight="1"/>
    <row r="1219" ht="15.75" customHeight="1"/>
    <row r="1220" ht="15.75" customHeight="1"/>
    <row r="1221" ht="15.75" customHeight="1"/>
    <row r="1222" ht="15.75" customHeight="1"/>
    <row r="1223" ht="15.75" customHeight="1"/>
    <row r="1224" ht="15.75" customHeight="1"/>
    <row r="1225" ht="15.75" customHeight="1"/>
    <row r="1226" ht="15.75" customHeight="1"/>
    <row r="1227" ht="15.75" customHeight="1"/>
    <row r="1228" ht="15.75" customHeight="1"/>
    <row r="1229" ht="15.75" customHeight="1"/>
    <row r="1230" ht="15.75" customHeight="1"/>
    <row r="1231" ht="15.75" customHeight="1"/>
    <row r="1232" ht="15.75" customHeight="1"/>
    <row r="1233" ht="15.75" customHeight="1"/>
    <row r="1234" ht="15.75" customHeight="1"/>
    <row r="1235" ht="15.75" customHeight="1"/>
    <row r="1236" ht="15.75" customHeight="1"/>
    <row r="1237" ht="15.75" customHeight="1"/>
    <row r="1238" ht="15.75" customHeight="1"/>
    <row r="1239" ht="15.75" customHeight="1"/>
    <row r="1240" ht="15.75" customHeight="1"/>
    <row r="1241" ht="15.75" customHeight="1"/>
    <row r="1242" ht="15.75" customHeight="1"/>
    <row r="1243" ht="15.75" customHeight="1"/>
    <row r="1244" ht="15.75" customHeight="1"/>
    <row r="1245" ht="15.75" customHeight="1"/>
    <row r="1246" ht="15.75" customHeight="1"/>
    <row r="1247" ht="15.75" customHeight="1"/>
    <row r="1248" ht="15.75" customHeight="1"/>
    <row r="1249" ht="15.75" customHeight="1"/>
    <row r="1250" ht="15.75" customHeight="1"/>
    <row r="1251" ht="15.75" customHeight="1"/>
    <row r="1252" ht="15.75" customHeight="1"/>
    <row r="1253" ht="15.75" customHeight="1"/>
    <row r="1254" ht="15.75" customHeight="1"/>
    <row r="1255" ht="15.75" customHeight="1"/>
    <row r="1256" ht="15.75" customHeight="1"/>
    <row r="1257" ht="15.75" customHeight="1"/>
    <row r="1258" ht="15.75" customHeight="1"/>
    <row r="1259" ht="15.75" customHeight="1"/>
    <row r="1260" ht="15.75" customHeight="1"/>
    <row r="1261" ht="15.75" customHeight="1"/>
    <row r="1262" ht="15.75" customHeight="1"/>
    <row r="1263" ht="15.75" customHeight="1"/>
    <row r="1264" ht="15.75" customHeight="1"/>
    <row r="1265" ht="15.75" customHeight="1"/>
    <row r="1266" ht="15.75" customHeight="1"/>
    <row r="1267" ht="15.75" customHeight="1"/>
    <row r="1268" ht="15.75" customHeight="1"/>
    <row r="1269" ht="15.75" customHeight="1"/>
    <row r="1270" ht="15.75" customHeight="1"/>
    <row r="1271" ht="15.75" customHeight="1"/>
    <row r="1272" ht="15.75" customHeight="1"/>
    <row r="1273" ht="15.75" customHeight="1"/>
    <row r="1274" ht="15.75" customHeight="1"/>
    <row r="1275" ht="15.75" customHeight="1"/>
    <row r="1276" ht="15.75" customHeight="1"/>
    <row r="1277" ht="15.75" customHeight="1"/>
    <row r="1278" ht="15.75" customHeight="1"/>
    <row r="1279" ht="15.75" customHeight="1"/>
    <row r="1280" ht="15.75" customHeight="1"/>
    <row r="1281" ht="15.75" customHeight="1"/>
    <row r="1282" ht="15.75" customHeight="1"/>
    <row r="1283" ht="15.75" customHeight="1"/>
    <row r="1284" ht="15.75" customHeight="1"/>
    <row r="1285" ht="15.75" customHeight="1"/>
    <row r="1286" ht="15.75" customHeight="1"/>
    <row r="1287" ht="15.75" customHeight="1"/>
    <row r="1288" ht="15.75" customHeight="1"/>
    <row r="1289" ht="15.75" customHeight="1"/>
    <row r="1290" ht="15.75" customHeight="1"/>
    <row r="1291" ht="15.75" customHeight="1"/>
    <row r="1292" ht="15.75" customHeight="1"/>
    <row r="1293" ht="15.75" customHeight="1"/>
    <row r="1294" ht="15.75" customHeight="1"/>
    <row r="1295" ht="15.75" customHeight="1"/>
    <row r="1296" ht="15.75" customHeight="1"/>
    <row r="1297" ht="15.75" customHeight="1"/>
    <row r="1298" ht="15.75" customHeight="1"/>
    <row r="1299" ht="15.75" customHeight="1"/>
    <row r="1300" ht="15.75" customHeight="1"/>
    <row r="1301" ht="15.75" customHeight="1"/>
    <row r="1302" ht="15.75" customHeight="1"/>
    <row r="1303" ht="15.75" customHeight="1"/>
    <row r="1304" ht="15.75" customHeight="1"/>
    <row r="1305" ht="15.75" customHeight="1"/>
    <row r="1306" ht="15.75" customHeight="1"/>
    <row r="1307" ht="15.75" customHeight="1"/>
    <row r="1308" ht="15.75" customHeight="1"/>
    <row r="1309" ht="15.75" customHeight="1"/>
    <row r="1310" ht="15.75" customHeight="1"/>
    <row r="1311" ht="15.75" customHeight="1"/>
    <row r="1312" ht="15.75" customHeight="1"/>
    <row r="1313" ht="15.75" customHeight="1"/>
    <row r="1314" ht="15.75" customHeight="1"/>
    <row r="1315" ht="15.75" customHeight="1"/>
    <row r="1316" ht="15.75" customHeight="1"/>
    <row r="1317" ht="15.75" customHeight="1"/>
    <row r="1318" ht="15.75" customHeight="1"/>
    <row r="1319" ht="15.75" customHeight="1"/>
    <row r="1320" ht="15.75" customHeight="1"/>
    <row r="1321" ht="15.75" customHeight="1"/>
    <row r="1322" ht="15.75" customHeight="1"/>
    <row r="1323" ht="15.75" customHeight="1"/>
    <row r="1324" ht="15.75" customHeight="1"/>
    <row r="1325" ht="15.75" customHeight="1"/>
    <row r="1326" ht="15.75" customHeight="1"/>
    <row r="1327" ht="15.75" customHeight="1"/>
    <row r="1328" ht="15.75" customHeight="1"/>
    <row r="1329" ht="15.75" customHeight="1"/>
    <row r="1330" ht="15.75" customHeight="1"/>
    <row r="1331" ht="15.75" customHeight="1"/>
    <row r="1332" ht="15.75" customHeight="1"/>
    <row r="1333" ht="15.75" customHeight="1"/>
    <row r="1334" ht="15.75" customHeight="1"/>
    <row r="1335" ht="15.75" customHeight="1"/>
    <row r="1336" ht="15.75" customHeight="1"/>
    <row r="1337" ht="15.75" customHeight="1"/>
    <row r="1338" ht="15.75" customHeight="1"/>
    <row r="1339" ht="15.75" customHeight="1"/>
    <row r="1340" ht="15.75" customHeight="1"/>
    <row r="1341" ht="15.75" customHeight="1"/>
    <row r="1342" ht="15.75" customHeight="1"/>
    <row r="1343" ht="15.75" customHeight="1"/>
    <row r="1344" ht="15.75" customHeight="1"/>
    <row r="1345" ht="15.75" customHeight="1"/>
    <row r="1346" ht="15.75" customHeight="1"/>
    <row r="1347" ht="15.75" customHeight="1"/>
    <row r="1348" ht="15.75" customHeight="1"/>
  </sheetData>
  <mergeCells count="48">
    <mergeCell ref="A390:A391"/>
    <mergeCell ref="B390:B391"/>
    <mergeCell ref="C390:C391"/>
    <mergeCell ref="B361:B366"/>
    <mergeCell ref="C361:C366"/>
    <mergeCell ref="A351:A356"/>
    <mergeCell ref="B351:B356"/>
    <mergeCell ref="C351:C356"/>
    <mergeCell ref="A358:A359"/>
    <mergeCell ref="B358:B359"/>
    <mergeCell ref="C358:C359"/>
    <mergeCell ref="A361:A366"/>
    <mergeCell ref="B344:B349"/>
    <mergeCell ref="C344:C349"/>
    <mergeCell ref="A330:A335"/>
    <mergeCell ref="B330:B335"/>
    <mergeCell ref="C330:C335"/>
    <mergeCell ref="A337:A342"/>
    <mergeCell ref="B337:B342"/>
    <mergeCell ref="C337:C342"/>
    <mergeCell ref="A344:A349"/>
    <mergeCell ref="B319:B328"/>
    <mergeCell ref="C319:C328"/>
    <mergeCell ref="A296:A305"/>
    <mergeCell ref="B296:B305"/>
    <mergeCell ref="C296:C305"/>
    <mergeCell ref="A307:A317"/>
    <mergeCell ref="B307:B317"/>
    <mergeCell ref="C307:C317"/>
    <mergeCell ref="A319:A328"/>
    <mergeCell ref="B387:B388"/>
    <mergeCell ref="C387:C388"/>
    <mergeCell ref="A381:A382"/>
    <mergeCell ref="B381:B382"/>
    <mergeCell ref="C381:C382"/>
    <mergeCell ref="A384:A385"/>
    <mergeCell ref="B384:B385"/>
    <mergeCell ref="C384:C385"/>
    <mergeCell ref="A387:A388"/>
    <mergeCell ref="B378:B379"/>
    <mergeCell ref="C378:C379"/>
    <mergeCell ref="A368:A373"/>
    <mergeCell ref="B368:B373"/>
    <mergeCell ref="C368:C373"/>
    <mergeCell ref="A375:A376"/>
    <mergeCell ref="B375:B376"/>
    <mergeCell ref="C375:C376"/>
    <mergeCell ref="A378:A379"/>
  </mergeCells>
  <hyperlinks>
    <hyperlink ref="B7" r:id="rId1" xr:uid="{00000000-0004-0000-0500-000000000000}"/>
    <hyperlink ref="B26" r:id="rId2" xr:uid="{00000000-0004-0000-0500-000001000000}"/>
    <hyperlink ref="B45" r:id="rId3" xr:uid="{00000000-0004-0000-0500-000002000000}"/>
    <hyperlink ref="B64" r:id="rId4" xr:uid="{00000000-0004-0000-0500-000003000000}"/>
    <hyperlink ref="B82" r:id="rId5" xr:uid="{00000000-0004-0000-0500-000004000000}"/>
    <hyperlink ref="B100" r:id="rId6" xr:uid="{00000000-0004-0000-0500-000005000000}"/>
    <hyperlink ref="B116" r:id="rId7" xr:uid="{00000000-0004-0000-0500-000006000000}"/>
    <hyperlink ref="B133" r:id="rId8" xr:uid="{00000000-0004-0000-0500-000007000000}"/>
    <hyperlink ref="B147" r:id="rId9" xr:uid="{00000000-0004-0000-0500-000008000000}"/>
    <hyperlink ref="B161" r:id="rId10" xr:uid="{00000000-0004-0000-0500-000009000000}"/>
    <hyperlink ref="B175" r:id="rId11" xr:uid="{00000000-0004-0000-0500-00000A000000}"/>
    <hyperlink ref="B188" r:id="rId12" xr:uid="{00000000-0004-0000-0500-00000B000000}"/>
    <hyperlink ref="B200" r:id="rId13" xr:uid="{00000000-0004-0000-0500-00000C000000}"/>
    <hyperlink ref="B213" r:id="rId14" xr:uid="{00000000-0004-0000-0500-00000D000000}"/>
    <hyperlink ref="B225" r:id="rId15" xr:uid="{00000000-0004-0000-0500-00000E000000}"/>
    <hyperlink ref="B238" r:id="rId16" xr:uid="{00000000-0004-0000-0500-00000F000000}"/>
    <hyperlink ref="B250" r:id="rId17" xr:uid="{00000000-0004-0000-0500-000010000000}"/>
    <hyperlink ref="B263" r:id="rId18" xr:uid="{00000000-0004-0000-0500-000011000000}"/>
    <hyperlink ref="B275" r:id="rId19" xr:uid="{00000000-0004-0000-0500-000012000000}"/>
    <hyperlink ref="B285" r:id="rId20" xr:uid="{00000000-0004-0000-0500-000013000000}"/>
    <hyperlink ref="B296" r:id="rId21" xr:uid="{00000000-0004-0000-0500-000014000000}"/>
    <hyperlink ref="B307" r:id="rId22" xr:uid="{00000000-0004-0000-0500-000015000000}"/>
    <hyperlink ref="B319" r:id="rId23" xr:uid="{00000000-0004-0000-0500-000016000000}"/>
    <hyperlink ref="B330" r:id="rId24" xr:uid="{00000000-0004-0000-0500-000017000000}"/>
    <hyperlink ref="B337" r:id="rId25" xr:uid="{00000000-0004-0000-0500-000018000000}"/>
    <hyperlink ref="B344" r:id="rId26" xr:uid="{00000000-0004-0000-0500-000019000000}"/>
    <hyperlink ref="B351" r:id="rId27" xr:uid="{00000000-0004-0000-0500-00001A000000}"/>
    <hyperlink ref="B358" r:id="rId28" xr:uid="{00000000-0004-0000-0500-00001B000000}"/>
    <hyperlink ref="B361" r:id="rId29" xr:uid="{00000000-0004-0000-0500-00001C000000}"/>
    <hyperlink ref="B368" r:id="rId30" xr:uid="{00000000-0004-0000-0500-00001D000000}"/>
    <hyperlink ref="B375" r:id="rId31" xr:uid="{00000000-0004-0000-0500-00001E000000}"/>
    <hyperlink ref="B378" r:id="rId32" xr:uid="{00000000-0004-0000-0500-00001F000000}"/>
    <hyperlink ref="B381" r:id="rId33" xr:uid="{00000000-0004-0000-0500-000020000000}"/>
    <hyperlink ref="B384" r:id="rId34" xr:uid="{00000000-0004-0000-0500-000021000000}"/>
    <hyperlink ref="B387" r:id="rId35" xr:uid="{00000000-0004-0000-0500-000022000000}"/>
    <hyperlink ref="B390" r:id="rId36" xr:uid="{00000000-0004-0000-0500-000023000000}"/>
  </hyperlinks>
  <pageMargins left="0.511811024" right="0.511811024" top="0.78740157499999996" bottom="0.78740157499999996"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6</vt:i4>
      </vt:variant>
    </vt:vector>
  </HeadingPairs>
  <TitlesOfParts>
    <vt:vector size="6" baseType="lpstr">
      <vt:lpstr>Lei Ordinária</vt:lpstr>
      <vt:lpstr>Decreto</vt:lpstr>
      <vt:lpstr>Estrutura básica da adm</vt:lpstr>
      <vt:lpstr>PPA</vt:lpstr>
      <vt:lpstr>LDO</vt:lpstr>
      <vt:lpstr>LOA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Denyscley Oliveira Bandeira</dc:creator>
  <cp:lastModifiedBy>Vinicius Carneiro de Farias</cp:lastModifiedBy>
  <dcterms:created xsi:type="dcterms:W3CDTF">2023-08-14T18:31:25Z</dcterms:created>
  <dcterms:modified xsi:type="dcterms:W3CDTF">2026-09-09T15:15:24Z</dcterms:modified>
</cp:coreProperties>
</file>