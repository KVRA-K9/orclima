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DD - ORÇAMENTO CLIMÁTICO" sheetId="1" r:id="rId5"/>
  </sheets>
  <definedNames>
    <definedName hidden="1" localSheetId="0" name="_xlnm._FilterDatabase">'QDD - ORÇAMENTO CLIMÁTICO'!$A$26:$L$26</definedName>
    <definedName hidden="1" localSheetId="0" name="Z_EB3044E7_C60A_4209_BD6B_F8A36D0666E9_.wvu.FilterData">'QDD - ORÇAMENTO CLIMÁTICO'!$A$6:$L$24</definedName>
    <definedName hidden="1" localSheetId="0" name="Z_37F47BC3_F859_4921_B1FB_1DB562960765_.wvu.FilterData">'QDD - ORÇAMENTO CLIMÁTICO'!$A$26:$L$26</definedName>
    <definedName hidden="1" localSheetId="0" name="Z_DC560D2A_7DA1_4CF8_88F3_D7014F719F40_.wvu.FilterData">'QDD - ORÇAMENTO CLIMÁTICO'!$A$26:$L$26</definedName>
    <definedName hidden="1" localSheetId="0" name="Z_163F5B3C_5AAC_4712_BBF1_15CC4D5FE810_.wvu.FilterData">'QDD - ORÇAMENTO CLIMÁTICO'!$A$6:$L$24</definedName>
    <definedName hidden="1" localSheetId="0" name="Z_1723B61F_0CBB_49AD_A885_BA04BC21ECD0_.wvu.FilterData">'QDD - ORÇAMENTO CLIMÁTICO'!$A$26:$L$26</definedName>
    <definedName hidden="1" localSheetId="0" name="Z_27029C99_1B8F_435A_A921_6D11F4AD659E_.wvu.FilterData">'QDD - ORÇAMENTO CLIMÁTICO'!$A$26:$L$26</definedName>
    <definedName hidden="1" localSheetId="0" name="Z_351CEED0_FEF4_4578_9721_DAFCBB80B5A1_.wvu.FilterData">'QDD - ORÇAMENTO CLIMÁTICO'!$A$6:$L$24</definedName>
    <definedName hidden="1" localSheetId="0" name="Z_C226DD3B_1CDE_4315_9B9A_43362ED13F36_.wvu.FilterData">'QDD - ORÇAMENTO CLIMÁTICO'!$A$26:$L$26</definedName>
    <definedName hidden="1" localSheetId="0" name="Z_CFB8DD1F_B306_4C45_BBCE_30BAFC05F82A_.wvu.FilterData">'QDD - ORÇAMENTO CLIMÁTICO'!$A$6:$L$24</definedName>
    <definedName hidden="1" localSheetId="0" name="Z_5A2EADFB_0565_4F18_B0CF_816C3B3987E8_.wvu.FilterData">'QDD - ORÇAMENTO CLIMÁTICO'!$A$26:$L$26</definedName>
  </definedNames>
  <calcPr/>
  <customWorkbookViews>
    <customWorkbookView activeSheetId="0" maximized="1" windowHeight="0" windowWidth="0" guid="{DC560D2A-7DA1-4CF8-88F3-D7014F719F40}" name="Filtro 4"/>
    <customWorkbookView activeSheetId="0" maximized="1" windowHeight="0" windowWidth="0" guid="{CFB8DD1F-B306-4C45-BBCE-30BAFC05F82A}" name="Filtro 5"/>
    <customWorkbookView activeSheetId="0" maximized="1" windowHeight="0" windowWidth="0" guid="{5A2EADFB-0565-4F18-B0CF-816C3B3987E8}" name="Filtro 6"/>
    <customWorkbookView activeSheetId="0" maximized="1" windowHeight="0" windowWidth="0" guid="{37F47BC3-F859-4921-B1FB-1DB562960765}" name="Filtro 7"/>
    <customWorkbookView activeSheetId="0" maximized="1" windowHeight="0" windowWidth="0" guid="{163F5B3C-5AAC-4712-BBF1-15CC4D5FE810}" name="Agrupar por Órgão"/>
    <customWorkbookView activeSheetId="0" maximized="1" windowHeight="0" windowWidth="0" guid="{C226DD3B-1CDE-4315-9B9A-43362ED13F36}" name="Agrupar por Eixo"/>
    <customWorkbookView activeSheetId="0" maximized="1" windowHeight="0" windowWidth="0" guid="{1723B61F-0CBB-49AD-A885-BA04BC21ECD0}" name="Filtro 1"/>
    <customWorkbookView activeSheetId="0" maximized="1" windowHeight="0" windowWidth="0" guid="{27029C99-1B8F-435A-A921-6D11F4AD659E}" name="Filtro 2"/>
    <customWorkbookView activeSheetId="0" maximized="1" windowHeight="0" windowWidth="0" guid="{351CEED0-FEF4-4578-9721-DAFCBB80B5A1}" name="Filtro 3"/>
    <customWorkbookView activeSheetId="0" maximized="1" windowHeight="0" windowWidth="0" guid="{EB3044E7-C60A-4209-BD6B-F8A36D0666E9}" name="Agrupar por Órgão [2]"/>
  </customWorkbookViews>
</workbook>
</file>

<file path=xl/sharedStrings.xml><?xml version="1.0" encoding="utf-8"?>
<sst xmlns="http://schemas.openxmlformats.org/spreadsheetml/2006/main" count="701" uniqueCount="180">
  <si>
    <t>QDD - ORÇAMENTO CLIMÁTICO</t>
  </si>
  <si>
    <t>Edição em 22/05/2026</t>
  </si>
  <si>
    <t>Edição em 27/05/2026</t>
  </si>
  <si>
    <t>Legenda:</t>
  </si>
  <si>
    <t>Sem Emendas.</t>
  </si>
  <si>
    <t>Valor de dotação inicial &gt;0, sem emendas, contudo, pode ocorrer alteração, tendo em vista os valores de emendas.</t>
  </si>
  <si>
    <t xml:space="preserve">                       Valor de dotação inicial =0, sem emendas, 
contudo, pode ocorrer alteração, tendo em vista os valores de emendas.</t>
  </si>
  <si>
    <t>Eixo</t>
  </si>
  <si>
    <t>Função</t>
  </si>
  <si>
    <t>Subfunção</t>
  </si>
  <si>
    <t>Órgão</t>
  </si>
  <si>
    <t>Dotação</t>
  </si>
  <si>
    <t>Observações (Detalhamento)</t>
  </si>
  <si>
    <t>Valores - Emendas</t>
  </si>
  <si>
    <t>Classificação do Gasto</t>
  </si>
  <si>
    <t>Justificativa (ponderação em caso de gasto não-exclusivo)</t>
  </si>
  <si>
    <t>Total Geral da Dotação</t>
  </si>
  <si>
    <t>Classificação do Gasto 2</t>
  </si>
  <si>
    <t xml:space="preserve">Dotação </t>
  </si>
  <si>
    <t>Eixo I – Desenvolvimento Sustentável e Bioeconomia</t>
  </si>
  <si>
    <t>18 – Gestão Ambiental</t>
  </si>
  <si>
    <t>CDSA (SEFAZ)</t>
  </si>
  <si>
    <t>Esse valor no QDD está disponibilizado a Unidade 512 - CDSA (Mercados de Economia Verde), mas a dotação inicial na LOA ao órgão é bem inferior, conforme indicado na Coluna J</t>
  </si>
  <si>
    <t>Exclusivo</t>
  </si>
  <si>
    <t>CDSA</t>
  </si>
  <si>
    <t>SEMA</t>
  </si>
  <si>
    <t>I) EMENDA Nº 08/2025 APOIO ÀS AÇÕES DA ASSOCIAÇÃO
DOS PRODUTORES RURAIS DO ACRE FLORESTA COM ABELHAS
II) EMENDA Nº 08/2025 APOIO ÀS AÇÕES DA ASSOCIAÇÃO DOS SERVIDORES DA SECRETARIA DE ESTADO DE MEIO AMBIENTE E RECURSOS NATURAIS ASSEMA
III) EMENDA Nº 11/2025 APOIO ÀS AÇÕES DO INSTITUTO PLANTAR
IV) EMENDA Nº 13/2025 APOIO ÀS AÇÕES DO CENTRO ESPÍRITA BENEFICIENTE UNIÃO DO VEGETAL, NUCLEO ÁGUA DA VIDA
V) EMENDA Nº 23/2025 APOIO ÀS AÇÕES DO MUNICÍPIO DE MANOEL URBANO</t>
  </si>
  <si>
    <t>I) R$ 20.000,00
II) R$ 20.000,00
III) R$ 300.000,00
IV) R$ 67.000,00
V) R$ 60.000,00</t>
  </si>
  <si>
    <t xml:space="preserve">SEMA (Fundo Est. de Meio Ambiente e Florestas) </t>
  </si>
  <si>
    <t>IMAC não está presente na subfunção.</t>
  </si>
  <si>
    <t>I) EMENDA Nº 09/2025 APOIO ÀS AÇÕES DA AGÊNCIA DE
DESENVOLVIMENTO SOCIAL DA AMAZÔNIA
II) EMENDA Nº 21/2025 APOIO ÀS AÇÕES DA ASSOCIAÇÃO DE DESENVOLVIMENTO AGROECOLOGICO E AMBIENTAL DA BACIA DO RIO CROA
III) EMENDA Nº 22/2025 APOIO ÀS AÇÕES DA ASSOCIAÇÃO ANDIROBA</t>
  </si>
  <si>
    <t>I) R$ 130.000,00
II) R$ 200.000,00
III) R$ 100.000,00</t>
  </si>
  <si>
    <t xml:space="preserve">20 – Agricultura </t>
  </si>
  <si>
    <t>SEAGRI</t>
  </si>
  <si>
    <t>PAA</t>
  </si>
  <si>
    <t>CAGEACRE</t>
  </si>
  <si>
    <t>I) EMENDA Nº 16/2025 APOIO ÀS AÇÕES DA SECRETARIA
DE ESTADO DE AGRICULTURA
ATER PARA POVOS INDÍGENAS</t>
  </si>
  <si>
    <t>I) R$ 50.000,00</t>
  </si>
  <si>
    <t>EMATER</t>
  </si>
  <si>
    <t>R$ 21.095.517,31 Gestão de Folha de Pagamento</t>
  </si>
  <si>
    <t>SEAGRI (Fundo Agropecuário (FUNAGRO))</t>
  </si>
  <si>
    <t>22 – Indústria</t>
  </si>
  <si>
    <t>SEICT (Fundo de Desenvolvimento Sustentável (FDS))</t>
  </si>
  <si>
    <t xml:space="preserve">23 – Comércio e Serviços </t>
  </si>
  <si>
    <t>JUCEAC (SEFAZ)</t>
  </si>
  <si>
    <t>Não Exclusivo</t>
  </si>
  <si>
    <t>Programa Simplifica Mais (envolve diversos setores, inclusive setor produtivo)</t>
  </si>
  <si>
    <t>SETE</t>
  </si>
  <si>
    <t>I) EMENDA Nº 10/2025 APOIO ÀS AÇÕES DO INSTITUTO DE EDUCAÇÃO
E DESENVOLVIMENTO DA AMAZÔNIA - IEDA;
II) EMENDA Nº 14/2025 APOIO ÀS AÇÕES DA
ASSOCIAÇÃO ASAS AMIGAS.</t>
  </si>
  <si>
    <t>I) R$ R$ 100.000,00
II) R$ 230.000,00</t>
  </si>
  <si>
    <t>SEICT</t>
  </si>
  <si>
    <t xml:space="preserve">I) EMENDA Nº 08/2025 APOIO ÀS AÇÕES DA ASSOCIAÇÃO
COMERCIAL, INDUSTRIAL, DE SERVICOS E AGRÍCOLA DO ACRE;
II) EMENDA Nº 08/2025 APOIO ÀS AÇÕES DA COOPERATIVA
DE TRABALHO TROPICAL PARQUET - COOPERPARQUET;
III) EMENDA Nº 13/2025 APOIO ÀS AÇÕES DA ASSOCIAÇÃO
COMERCIAL, INDUSTRIAL, DE SERVICOS E AGRÍCOLA DE SENA MADUREIRA.
</t>
  </si>
  <si>
    <t>I) R$ 70.000,00
II) R$ 30.000,00
III) R$ 50.000,00</t>
  </si>
  <si>
    <t>ANAC</t>
  </si>
  <si>
    <t>R$ 6.115.071,30 é Gestão de Folha de Pagamento</t>
  </si>
  <si>
    <t>SEICT (Fundo de Desenv. Sustentável (FDS))</t>
  </si>
  <si>
    <t>Envolve desenvolvimento da indústria e do comércio de forma genérica</t>
  </si>
  <si>
    <t>Column 12</t>
  </si>
  <si>
    <t>Eixo II – Mitigação das Mudanças Climáticas</t>
  </si>
  <si>
    <t>04 – Administração</t>
  </si>
  <si>
    <t>SEPLAN</t>
  </si>
  <si>
    <t>Envolve recursos para gestão estratégica de recursos, gestão orçamentária e contrapartidade de convênios e operações especiais (nem todas estão voltadas à redução de emissões de GEE, mas tem forte alocação às operações de crédito aos BDs)</t>
  </si>
  <si>
    <t>04 - Administração</t>
  </si>
  <si>
    <t>Envolve recursos para promoção da política de Des. Regional, mas também envolve recursos para provisão de Emendas Parlamentares de forma genérica</t>
  </si>
  <si>
    <t>Promoção da transição e eficiência energética na Adm. Pública</t>
  </si>
  <si>
    <t>SEAD</t>
  </si>
  <si>
    <t>SEFAZ</t>
  </si>
  <si>
    <t>06 - Segurança Pública</t>
  </si>
  <si>
    <t>SEJUSP</t>
  </si>
  <si>
    <t>Monitoramento ambiental-comando e controle</t>
  </si>
  <si>
    <t>SEJUSP (Fundo Est. de Segurança (FUNDESEG))</t>
  </si>
  <si>
    <t>17 - Saneamento</t>
  </si>
  <si>
    <t>SEOP</t>
  </si>
  <si>
    <t>Eficiência energética</t>
  </si>
  <si>
    <t>18 - Gestão Ambiental</t>
  </si>
  <si>
    <t>SEMA (Fundo Est. de Comando e Controle Ambiental)</t>
  </si>
  <si>
    <t>IMAC</t>
  </si>
  <si>
    <t>IMC</t>
  </si>
  <si>
    <t>25 – Energia</t>
  </si>
  <si>
    <t>AGEAC (SEOP)</t>
  </si>
  <si>
    <t>Envolve promoção da regulação de energia de forma genérica, não apenas renovável</t>
  </si>
  <si>
    <t xml:space="preserve">26 – Transporte </t>
  </si>
  <si>
    <t>DERACRE (SEHURB)</t>
  </si>
  <si>
    <t>I) EMENDA Nº 08/2025 APOIO ÀS AÇÕES DO DEPARTAMENTO DE ESTRADAS DE RODAGEM, INFRAESTRUTURA HIDROVIÁRIA E AEROPORTUÁRIA DO ACRE;
II) EMENDA Nº 13/2025 APOIO ÀS AÇÕES DO MUNICÍPIO DE MANOEL URBANO;
III) EMENDA Nº 14/2025 APOIO ÀS AÇÕES DO DEPARTAMENTO DE ESTRADAS DE RODAGEM, INFRAESTRUTURA HIDROVIÁRIA E AEROPORTUÁRIA DO ACRE;
IV) EMENDA Nº 15/2025 APOIO ÀS AÇÕES DO MUNICÍPIO DE FEIJÓ;
V) EMENDA Nº 15/2025 APOIO ÀS AÇÕES DO MUNICÍPIO DE TARAUACÁ;
VI) EMENDA Nº 15/2025 APOIO ÀS AÇÕES DO MUNICÍPIO DE XAPURI;
VII) EMENDA Nº 16/2025 APOIO ÀS AÇÕES DO MUNICÍPIO DE CAPIXABA;
VIII) EMENDA Nº 16/2025 APOIO ÀS AÇÕES DO MUNICÍPIO DE MÂNCIO LIMA;
IX) EMENDA Nº 21/2025 APOIO ÀS AÇÕES DO SINDICATO DOS CONDUTORES AUTONOMOS DE VEICULOS RODOVIARIOS DE CRUZEIRO DO SUL;
X) EMENDA Nº 23/2025 APOIO ÀS AÇÕES DO MUNICÍPIO DE MANOEL URBANO;
XI) EMENDA Nº 23/2025 APOIO ÀS AÇÕES DO MUNICÍPIO DE PLÁCIDO DE CASTRO;
XII) EMENDA Nº 23/2025 APOIO ÀS AÇÕES DO MUNICÍPIO DE SANTA ROSA DO PURUS.</t>
  </si>
  <si>
    <t>I) R$ 50.000,00
II) R$ 50.000,00
III)R$ 400.000,00
IV) R$ 150.000,00
V) R$ 200.000,00
VI) R$ 569.018,15
VII) R$ 50.000,00
VIII) R$ 100.000,00
IX) R$ 20.000,00
X) R$ 150.000,00
XI) R$ 150.000,00
XII) R$ 100.000,00</t>
  </si>
  <si>
    <t>Envolve recursos para construção e melhoria de ramais e outras atividades de melhoria de acesso logístico de forma genérica</t>
  </si>
  <si>
    <t>AGEAC (SEFAZ)</t>
  </si>
  <si>
    <t>Envolve recursos para promoção e regulação de transportes de forma genérica, não somente incentivo à renováveis</t>
  </si>
  <si>
    <t>Eixo III – Adaptação às Mudanças Climáticas</t>
  </si>
  <si>
    <t>01 - Legislativa</t>
  </si>
  <si>
    <t>TCE</t>
  </si>
  <si>
    <t>adaptação e melhoria estrutural de edificações e instalações públicas já devem contemplar ações de resiliência climática</t>
  </si>
  <si>
    <t>02 - Judiciário</t>
  </si>
  <si>
    <t>TJAC</t>
  </si>
  <si>
    <t>03 - Essencial à Justiça</t>
  </si>
  <si>
    <t>MPAC</t>
  </si>
  <si>
    <t>DPE</t>
  </si>
  <si>
    <t>PGE</t>
  </si>
  <si>
    <t>R$ 1.574.074.171,74</t>
  </si>
  <si>
    <t>SEGOV</t>
  </si>
  <si>
    <t>SEPI</t>
  </si>
  <si>
    <t xml:space="preserve">06 – Segurança Pública </t>
  </si>
  <si>
    <t xml:space="preserve">COORD. EST. PROTEÇÃO E DEFESA CIVIL </t>
  </si>
  <si>
    <t>06 – Segurança Pública</t>
  </si>
  <si>
    <t>CBMAC</t>
  </si>
  <si>
    <t>PCAC</t>
  </si>
  <si>
    <t>IAPEN</t>
  </si>
  <si>
    <t>SEJUSP (Fundo Penitenciário)</t>
  </si>
  <si>
    <t>PMAC</t>
  </si>
  <si>
    <t>08 - Assistência Social</t>
  </si>
  <si>
    <t>SEASDH</t>
  </si>
  <si>
    <t>09 - Previdência Social</t>
  </si>
  <si>
    <t xml:space="preserve">10 – Saúde </t>
  </si>
  <si>
    <t>SESACRE (Fundo Estadual de Saúde (FUNDES))</t>
  </si>
  <si>
    <t>11 - Trabalho</t>
  </si>
  <si>
    <t>12 - Educação</t>
  </si>
  <si>
    <t>SEE</t>
  </si>
  <si>
    <t>IEPTEC</t>
  </si>
  <si>
    <t>13 - Cultura</t>
  </si>
  <si>
    <t>FEM</t>
  </si>
  <si>
    <t>14 - Diretos da Cidadania</t>
  </si>
  <si>
    <t>ISE</t>
  </si>
  <si>
    <t>SEASDH (Fundo Est. Def. Consumidor (DEFC))</t>
  </si>
  <si>
    <t>SEMULHER</t>
  </si>
  <si>
    <t xml:space="preserve">15 – Urbanismo </t>
  </si>
  <si>
    <t>SEHURB</t>
  </si>
  <si>
    <t>SEHURB (Fundo Est. Esp. Recup. Bacia Igarapé S. Francisco)</t>
  </si>
  <si>
    <t>16 – Habitação</t>
  </si>
  <si>
    <t>SEHURB (Fundo Est. Habitação (FEH))</t>
  </si>
  <si>
    <t>COHAB (SEFAZ)</t>
  </si>
  <si>
    <t xml:space="preserve">17 – Saneamento </t>
  </si>
  <si>
    <t>SANEACRE (SEOP)</t>
  </si>
  <si>
    <t>I) EMENDA Nº 23/2025 APOIO ÀS AÇÕES DO SERVIÇO DE ÁGUA
E ESGOTO DO ESTADO DO ACRE</t>
  </si>
  <si>
    <t>I) R$ 100.000,00</t>
  </si>
  <si>
    <t xml:space="preserve">Pela Taxonomia Sustentável Brasileira a Construção, extensão e operação de sistemas de coleta dos esgotos sanitários
(sistemas novos e existentes) (E4) o saneamento básico possui uma múltipla finalidade, ele não pode ser exclusivo pois embora um sistema de esgoto eficiente aumente a resiliência de uma comunidade frente a inundações (evitando o transbordamento de dejetos e a propagação de doenças transmitidas pela água), a obra existiria mesmo sem a crise climática por razões de infraestrutura urbana básica
</t>
  </si>
  <si>
    <t>AGEACRE (SEOP)</t>
  </si>
  <si>
    <t>19 - Ciência e Tecnologia</t>
  </si>
  <si>
    <t>FUNTAC</t>
  </si>
  <si>
    <t>IDAF</t>
  </si>
  <si>
    <t xml:space="preserve">21 - Organização Agrária </t>
  </si>
  <si>
    <t>26 - Transportes</t>
  </si>
  <si>
    <t>DERACRE</t>
  </si>
  <si>
    <t xml:space="preserve">O setor de transportes visa, constitucionalmente, garantir a mobilidade, o acesso à saúde, educação e o desenvolvimento econômico. A TSB setor H (Transporte) define que, para uma atividade de infraestrutura ser considerada como contribuição para a Adaptação (Objetivo 2), ela deve atender a critérios técnicos específicos, como resiliência a eventos extremos, como inundações ou deslizamentos de terra
</t>
  </si>
  <si>
    <t>27 - Desporto e Lazer</t>
  </si>
  <si>
    <t>SEEL</t>
  </si>
  <si>
    <t>Eixo IV – Justiça Climática e Inclusão Social</t>
  </si>
  <si>
    <t xml:space="preserve">08 – Assistência Social </t>
  </si>
  <si>
    <t>I) EMENDA Nº 01/2025 APOIO ÀS AÇÕES DA ASSOCIAÇÃO DE MORADORES DO BAIRRO NOVA ESTAÇÃO
II) EMENDA Nº 02/2025 APOIO ÀS AÇÕES DA ASSOCIAÇÃO AME VIDA
III) EMENDA Nº 02/2025 APOIO ÀS AÇÕES DA ASSOCIAÇÃO TENDA DE DEUS - ATENDE
IV) EMENDA Nº 02/2025 APOIO ÀS AÇÕES DA IGREJA EVANGÉLICA ASSEMBLEIA DE DEUS QUIXADA - AC
V) EMENDA Nº 02/2025 APOIO ÀS AÇÕES DA IGREJA EVANGÉLICA RESTAURA ACRE
VI) EMENDA Nº 02/2025 APOIO ÀS AÇÕES DO INSTITUTO ACOLHER &amp; TRANSFORMAR
VII) EMENDA Nº 02/2025 APOIO ÀS AÇÕES DO INSTITUTO INOVA
VIII) EMENDA Nº 02/2025 APOIO ÀS AÇÕES DO INSTITUTO VIDA PLENA
IX) EMENDA Nº 04/2025 APOIO ÀS AÇÕES DA ASSOCIAÇÃO BENEFICENTE SOLAR DAS ACÁCIAS
X) EMENDA Nº 05/2025 APOIO ÀS AÇÕES DA UNIÃO CRISTÃ DE INCLUSAO FAMILIAR
XI) EMENDA Nº 05/2025 APOIO ÀS AÇÕES DO CENTRO DE DESENVOLVIMENTO DE CIDADANIA DO ESTADO DO ACRE
XII) EMENDA Nº 06/2025 APOIO ÀS AÇÕES DA ASSOCIAÇÃO AMIGOS DO PEITO - AAPEI
XIII) EMENDA Nº 06/2025 APOIO ÀS AÇÕES DA ASSOCIAÇÃO FOGO E GLORIA
XIV) EMENDA Nº 05/2025 APOIO ÀS AÇÕES DO CENTRO DE DESENVOLVIMENTO DE CIDADANIA DO ESTADO DO ACRE
XV) EMENDA Nº 06/2025 APOIO ÀS AÇÕES DO GRUPO DE MULHERES VIDA NOVA - GMUVIN
XVI) EMENDA Nº 08/2025 APOIO ÀS AÇÕES DA DIOCESE DE RIO BRANCO- PARÓQUIA SANTA INÊS
XVII) EMENDA Nº 08/2025 APOIO ÀS AÇÕES DO INSTITUTO INOVA (3)
XVIII) EMENDA Nº 09/2025 APOIO ÀS AÇÕES DA AUG RESP LOJA SIMB LIBERTADORA ACREANA NÚMERO 4
XIX) EMENDA Nº 09/2025 APOIO ÀS AÇÕES DA COMUNIDADE CATOLICA SHALOM
XX) EMENDA Nº 09/2025 APOIO ÀS AÇÕES DA DIOCESE DE CRUZEIRO DO SUL - CNPJ 04.021.218/0001-83
XXI) EMENDA Nº 11/2025 APOIO ÀS AÇÕES DO CENTRO BENEFICENTE INTERCULTURAL LUZ DIVINA DA FLORESTA
XXII) EMENDA Nº 11/2025 APOIO ÀS AÇÕES DO CENTRO ESPÍRITA BENEFICENTE UNIÃO DO VEGETAL- NÚCLEO SENHORA DAS ÁGUAS
XXIII) EMENDA Nº 11/2025 APOIO ÀS AÇÕES DO CENTRO ESPÍRITA UNIÃO DO VEGETAL, NUCLEO ÁGUA DA VIDA
XXIV) EMENDA Nº 13/2025 APOIO ÀS AÇÕES DA ASSOCIAÇÃO SONHAR E REALIZAR
XXV) EMENDA Nº 13/2025 APOIO ÀS AÇÕES DA AUG RESP LOJA SIMB LIBERTADORA ACREANA NÚMERO 4
XXVI) EMENDA Nº 13/2025 APOIO ÀS AÇÕES DA LOJA MACONICA FRATERNIDADE E TRABALHO
XXVII) EMENDA Nº 14/2025 APOIO ÀS AÇÕES DA IGREJA EVANGÉLICA FILADELFIA DA PALAVRA
XXVIII) EMENDA Nº 14/2025 APOIO ÀS AÇÕES DA IGREJA PENTECOSTAL O TRONO DE DEUS
XXIX) EMENDA Nº 14/2025 APOIO ÀS AÇÕES DA LOJA MACONICA FRATERNIDADE ACREANA
XXX) EMENDA Nº 14/2025 APOIO ÀS AÇÕES DO CENTRO ESPÍRITA BENEFICENTE UNIÃO DO VEGETAL NÚCLEO MARECHAL
XXXI) EMENDA Nº 14/2025 APOIO ÀS AÇÕES DO CENTRO ESPÍRITA BENEFICENTE UNIÃO DO VEGETAL -NUCLEO RIO JORDÃO
XXXII) EMENDA Nº 14/2025 APOIO ÀS AÇÕES DO CENTRO ESPÍRITA BENEFICENTE UNIÃO DO VEGETAL, NÚCLEO BELO REINADO
XXXIII) EMENDA Nº 14/2025 APOIO ÀS AÇÕES DO CENTRO ESPÍRITA BENEFICENTE UNIÃO DO VEGETAL, NÚCLEO PORTO RICO
XXXIV) EMENDA Nº 14/2025 APOIO ÀS AÇÕES DO CENTRO LUZ DO FIRMAMENTO RAIMUNDO FERREIRA
XXXV) EMENDA Nº 15/2025 APOIO ÀS AÇÕES DA ASSOCIAÇÃO ANDIROBA
XXXVI) EMENDA Nº 15/2025 APOIO ÀS AÇÕES DO MUNICÍPIO DE TARAUACÁ
XXXVII) EMENDA Nº 17/2025 APOIO ÀS AÇÕES DA IGREJA DO EVANGELHO QUADRANGULAR
XXXVIII) EMENDA Nº 19/2025 APOIO ÀS AÇÕES DA CONGREGAÇÃO CRISTÃ NO BRASIL
XXXIX) EMENDA Nº 19/2025 APOIO ÀS AÇÕES DO SEMEAR
XL) EMENDA Nº 20/2025 APOIO ÀS AÇÕES DA ASSOCIAÇÃO RECANTO SOCIAL BOM PASTOR
XLI) EMENDA Nº 20/2025 APOIO ÀS AÇÕES DO INSTITUTO INOVA (1)
XLII) EMENDA Nº 20/2025 APOIO ÀS AÇÕES DO INSTITUTO INOVA (2)
XLIII) EMENDA Nº 21/2025 APOIO ÀS AÇÕES DA AUG RESP LOJA SIMB LIBERTADORA ACREANA NÚMERO 4
XLIV) EMENDA Nº 21/2025 APOIO ÀS AÇÕES DA LOJA MACONICA CORONEL JOSÉ PLÁCIDO DE CASTRO
XLV) EMENDA Nº 21/2025 APOIO ÀS AÇÕES DA ORGANIZAÇÃO MÃOS QUE AJUDAM
XLVI) EMENDA Nº 21/2025 APOIO ÀS AÇÕES DO SUPREMO CENTRO ESPÍRITA BENEF.MESTRE GABRIEL T. SALOMAO A.ORD.MARCONICA ROSALUZ ESTRELA ORINT.UNIV.SOB.UNIÃO VEGETAL
XLVII) EMENDA Nº 24/2025 APOIO ÀS AÇÕES DA DIOCESE DE RIO BRANCO - PARÓQUIA IMACULADA CONCEIÇÃO
XLVIII) EMENDA Nº 24/2025 APOIO ÀS AÇÕES DO INSTITUTO INOVA</t>
  </si>
  <si>
    <t>I) R$ 100.000,00
II) R$ 50.000,00
III) R$ 80.000,00
IV) R$ 80.000,00 
V) R$ 180.000,00
VI) R$ 50.000,00
VII) R$ 170.000,00 
VIII) R$ 200.000,00 
IX) R$ 150.000,00
X) R$ 200.000,00
XI) R$ 100.000,00
XII) R$ 20.000,00
XIII) R$ 50.000,00
XIV) R$ 20.000,00
XV) R$ 20.000,00
XVI) R$ 30.000,00
XVII) R$ 1.300.000,00
XVIII) R$ 50.000,00
XIX) R$ 30.000,00
XX) R$ 170.000,00
XXI) R$ 20.000,00
XXII) R$ 20.000,00
XXIII) R$ 30.000,00
XXIV) R$ 100.000
XXV) R$ 50.000,00
XXVI) R$ 50.000,00
XXVII) R$ 50.000,00
XXVIII) R$ 70.000,00
XXIX) R$ 100.000,00
XXX) R$ 60.000,00
XXXI) R$ 60.000,00
XXXII) R$ 100.000,00
XXXIII) R$ 55.000,00
XXXIV) R$ 60.000,00
XXXV) R$ 150.000,00
XXXVI) R$ 100.000,00
XXXVII) R$ 70.000,00
XXXVIII) R$ 100.000,00
XXXIX) R$ 100.000,00
XL) R$ 70.000,00
XLI) R$ 1.300.000,00
XLII) R$ 1.200.000,00
XLIII) R$ 100.000,00
XLIV) R$ 50.000,00
XLV) R$ 20.000,00
XLVI) R$ 20.000,00
XLVII) R$ 40.000,00
XLVIII) R$ 200.000,00</t>
  </si>
  <si>
    <t>Os recursos não são exclusivos à pessoas e territórios mais expostas aos riscos climáticos</t>
  </si>
  <si>
    <t>SEASDH (Fundo de Assistência Social (FEAS))</t>
  </si>
  <si>
    <t>Computa somente programas: para povos indígenas; bolsa moradia transitória</t>
  </si>
  <si>
    <t xml:space="preserve">14 – Direitos da Cidadania </t>
  </si>
  <si>
    <t>Computa somente ações de direitos humanos geral</t>
  </si>
  <si>
    <t xml:space="preserve">PROCON (SEASDH) </t>
  </si>
  <si>
    <t>SEADH (Fundo Estadual de Defesa do Consumidor (FEDC))</t>
  </si>
  <si>
    <t>I) EMENDA Nº 09/2025 APOIO ÀS AÇÕES DA AGÊNCIA DE
DESENVOLVIMENTO SOCIAL DA AMAZÔNIA                                                                                                                                                                                                                     R$ 1.937.560,00 para ações de enfrentamento à violência contra mulher</t>
  </si>
  <si>
    <t>I) R$ 30.000,00</t>
  </si>
  <si>
    <t>R$ 7.511.899,00</t>
  </si>
  <si>
    <t xml:space="preserve">I) EMENDA Nº 04/2025 APOIO ÀS AÇÕES DA ASSOCIAÇÃO NUKU BEYA INU MAE RUAWA BAINA HUNI KUI DA PRAIA DO CARAPANA - BEYA
II) EMENDA Nº 09/2025 APOIO ÀS AÇÕES DA AGÊNCIA DE DESENVOLVIMENTO SOCIAL DA AMAZÔNIA
III) EMENDA Nº 16/2025 APOIO ÀS AÇÕES DA ASSOCIAÇÃO SOCIOCULTURAL E AMBIENTAL KUNTAMANA - ASCAK
IV) EMENDA Nº 17/2025 APOIO ÀS AÇÕES DA ASSOCIAÇÃO SOCIOCULTURAL E AMBIENTAL KUNTAMANA - ASCAK
V) EMENDA Nº 21/2025 APOIO ÀS AÇÕES DA ASSOCIAÇÃO AGROEXTRATIVISTA DO POVO SHAWADAWA DO IGARAPE HUMAITA - APSIH
VI) EMENDA Nº 21/2025 APOIO ÀS AÇÕES DA ASSOCIAÇÃO COMUNITÁRIA SHANINAWA DE MORADA NOVA
VII) EMENDA Nº 21/2025 APOIO ÀS AÇÕES DA ASSOCIAÇÃO DE EMPREENDEDORISMO E DESENVOLVIMENTO SUSTENTAVEL MULHERES DA TERRA
VIII) EMENDA Nº 21/2025 APOIO ÀS AÇÕES DA ASSOCIAÇÃO DOS SERINGUEIROS KAXINAWA DO RIO JORDÃO
IX) EMENDA Nº 21/2025 APOIO ÀS AÇÕES DA ASSOCIAÇÃO INDIGENA NUKINI
</t>
  </si>
  <si>
    <t>I) R$ 20.000,00
II) R$ 120.000,00
III) R$ 50.000,00
IV) R$ 50.000,00 
V) R$ 20.000,00
VI) R$ 20.000,00
VII) R$ 20.000,00 
VIII) R$ 20.000,00 
IX) R$ 30.000,00</t>
  </si>
  <si>
    <t>ITERACRE (SEHURB)</t>
  </si>
  <si>
    <t>I) EMENDA Nº 15/2025 APOIO ÀS AÇÕES DO
INSTITUTO DE TERRAS DO ACRE</t>
  </si>
  <si>
    <t>I) R$ 1.150.981,85</t>
  </si>
  <si>
    <t>Eixo V – Governança Ambiental e Transparência</t>
  </si>
  <si>
    <t xml:space="preserve">04 – Administração </t>
  </si>
  <si>
    <t>CGE</t>
  </si>
  <si>
    <t xml:space="preserve">Ouvidorias </t>
  </si>
  <si>
    <t>Os recursos atendem monitoramento e transparência genérico, não apenas ações ambientais/climáticas</t>
  </si>
  <si>
    <t>Ouvidorias (SEMA e SISA)</t>
  </si>
  <si>
    <t>Eixo VI – Educação Ambiental e Inovação Climática</t>
  </si>
  <si>
    <t xml:space="preserve">12 – Educação </t>
  </si>
  <si>
    <t xml:space="preserve">SEMA (Fundo Estadual de Comando e Cont. Ambiental) </t>
  </si>
  <si>
    <t>19 – Ciência e Tecnologia</t>
  </si>
  <si>
    <t>FAPAC</t>
  </si>
  <si>
    <t xml:space="preserve">19 – Ciência e Tecnologia </t>
  </si>
  <si>
    <t>SEICT (Fundo de Des. Sustentável (FDS))</t>
  </si>
  <si>
    <t>Eixo VII – Resposta Climática Emergencial e Proteção Civil</t>
  </si>
  <si>
    <t>Computa somente aluguel emergencial</t>
  </si>
  <si>
    <t>LOA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</si>
</sst>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[$R$ -416]#,##0.00"/>
  </numFmts>
  <fonts count="13">
    <font>
      <sz val="11.0"/>
      <color theme="1"/>
      <name val="Calibri"/>
      <scheme val="minor"/>
    </font>
    <font>
      <b/>
      <sz val="12.0"/>
      <color theme="1"/>
      <name val="Times New Roman"/>
    </font>
    <font/>
    <font>
      <b/>
      <sz val="11.0"/>
      <color theme="1"/>
      <name val="Calibri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Calibri"/>
    </font>
    <font>
      <sz val="11.0"/>
      <color theme="1"/>
      <name val="Times New Roman"/>
    </font>
    <font>
      <sz val="9.0"/>
      <color theme="1"/>
      <name val="Calibri"/>
    </font>
    <font>
      <sz val="8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00FFFF"/>
        <bgColor rgb="FF00FFFF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0" fillId="2" fontId="1" numFmtId="0" xfId="0" applyAlignment="1" applyFont="1">
      <alignment horizontal="center"/>
    </xf>
    <xf borderId="2" fillId="3" fontId="1" numFmtId="0" xfId="0" applyAlignment="1" applyBorder="1" applyFill="1" applyFont="1">
      <alignment horizontal="center" readingOrder="0" shrinkToFit="0" wrapText="1"/>
    </xf>
    <xf borderId="4" fillId="2" fontId="3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4" fontId="5" numFmtId="164" xfId="0" applyAlignment="1" applyBorder="1" applyFont="1" applyNumberFormat="1">
      <alignment shrinkToFit="0" vertical="center" wrapText="0"/>
    </xf>
    <xf borderId="8" fillId="7" fontId="6" numFmtId="0" xfId="0" applyAlignment="1" applyBorder="1" applyFill="1" applyFont="1">
      <alignment readingOrder="0" shrinkToFit="0" vertical="center" wrapText="1"/>
    </xf>
    <xf borderId="8" fillId="2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8" fillId="4" fontId="5" numFmtId="0" xfId="0" applyAlignment="1" applyBorder="1" applyFont="1">
      <alignment horizontal="center" shrinkToFit="0" vertical="center" wrapText="1"/>
    </xf>
    <xf borderId="8" fillId="5" fontId="5" numFmtId="164" xfId="0" applyAlignment="1" applyBorder="1" applyFont="1" applyNumberFormat="1">
      <alignment shrinkToFit="0" vertical="center" wrapText="0"/>
    </xf>
    <xf borderId="8" fillId="6" fontId="6" numFmtId="0" xfId="0" applyAlignment="1" applyBorder="1" applyFont="1">
      <alignment horizontal="left" shrinkToFit="0" vertical="center" wrapText="1"/>
    </xf>
    <xf borderId="8" fillId="6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0" fillId="0" fontId="6" numFmtId="165" xfId="0" applyAlignment="1" applyFont="1" applyNumberFormat="1">
      <alignment readingOrder="0" shrinkToFit="0" vertical="center" wrapText="1"/>
    </xf>
    <xf borderId="8" fillId="4" fontId="7" numFmtId="164" xfId="0" applyAlignment="1" applyBorder="1" applyFont="1" applyNumberFormat="1">
      <alignment shrinkToFit="0" vertical="center" wrapText="0"/>
    </xf>
    <xf borderId="8" fillId="6" fontId="7" numFmtId="164" xfId="0" applyAlignment="1" applyBorder="1" applyFont="1" applyNumberFormat="1">
      <alignment shrinkToFit="0" vertical="center" wrapText="0"/>
    </xf>
    <xf borderId="8" fillId="6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8" fillId="4" fontId="7" numFmtId="164" xfId="0" applyAlignment="1" applyBorder="1" applyFont="1" applyNumberFormat="1">
      <alignment readingOrder="0" shrinkToFit="0" vertical="center" wrapText="0"/>
    </xf>
    <xf borderId="8" fillId="6" fontId="3" numFmtId="165" xfId="0" applyAlignment="1" applyBorder="1" applyFont="1" applyNumberFormat="1">
      <alignment readingOrder="0" shrinkToFit="0" vertical="center" wrapText="1"/>
    </xf>
    <xf borderId="8" fillId="0" fontId="3" numFmtId="165" xfId="0" applyAlignment="1" applyBorder="1" applyFont="1" applyNumberFormat="1">
      <alignment readingOrder="0" shrinkToFit="0" vertical="center" wrapText="1"/>
    </xf>
    <xf borderId="8" fillId="5" fontId="7" numFmtId="164" xfId="0" applyAlignment="1" applyBorder="1" applyFont="1" applyNumberFormat="1">
      <alignment shrinkToFit="0" vertical="center" wrapText="0"/>
    </xf>
    <xf borderId="8" fillId="6" fontId="6" numFmtId="0" xfId="0" applyAlignment="1" applyBorder="1" applyFont="1">
      <alignment readingOrder="0" shrinkToFit="0" vertical="center" wrapText="1"/>
    </xf>
    <xf borderId="8" fillId="7" fontId="6" numFmtId="0" xfId="0" applyAlignment="1" applyBorder="1" applyFont="1">
      <alignment readingOrder="0" shrinkToFit="0" vertical="center" wrapText="0"/>
    </xf>
    <xf borderId="0" fillId="0" fontId="6" numFmtId="165" xfId="0" applyAlignment="1" applyFont="1" applyNumberFormat="1">
      <alignment shrinkToFit="0" vertical="center" wrapText="0"/>
    </xf>
    <xf borderId="8" fillId="4" fontId="6" numFmtId="0" xfId="0" applyAlignment="1" applyBorder="1" applyFont="1">
      <alignment readingOrder="0" shrinkToFit="0" vertical="center" wrapText="0"/>
    </xf>
    <xf borderId="8" fillId="4" fontId="6" numFmtId="0" xfId="0" applyAlignment="1" applyBorder="1" applyFont="1">
      <alignment shrinkToFit="0" vertical="center" wrapText="0"/>
    </xf>
    <xf borderId="8" fillId="0" fontId="8" numFmtId="0" xfId="0" applyAlignment="1" applyBorder="1" applyFont="1">
      <alignment readingOrder="0" shrinkToFit="0" vertical="center" wrapText="1"/>
    </xf>
    <xf borderId="0" fillId="0" fontId="6" numFmtId="165" xfId="0" applyAlignment="1" applyFont="1" applyNumberFormat="1">
      <alignment shrinkToFit="0" vertical="center" wrapText="1"/>
    </xf>
    <xf borderId="8" fillId="0" fontId="6" numFmtId="165" xfId="0" applyAlignment="1" applyBorder="1" applyFont="1" applyNumberFormat="1">
      <alignment readingOrder="0" shrinkToFit="0" vertical="center" wrapText="0"/>
    </xf>
    <xf borderId="8" fillId="4" fontId="4" numFmtId="0" xfId="0" applyAlignment="1" applyBorder="1" applyFont="1">
      <alignment horizontal="left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7" numFmtId="164" xfId="0" applyAlignment="1" applyBorder="1" applyFont="1" applyNumberFormat="1">
      <alignment shrinkToFit="0" vertical="center" wrapText="0"/>
    </xf>
    <xf borderId="8" fillId="4" fontId="6" numFmtId="0" xfId="0" applyAlignment="1" applyBorder="1" applyFont="1">
      <alignment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8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7" numFmtId="164" xfId="0" applyAlignment="1" applyBorder="1" applyFont="1" applyNumberFormat="1">
      <alignment vertical="center"/>
    </xf>
    <xf borderId="8" fillId="0" fontId="3" numFmtId="0" xfId="0" applyAlignment="1" applyBorder="1" applyFont="1">
      <alignment vertical="center"/>
    </xf>
    <xf borderId="8" fillId="0" fontId="6" numFmtId="0" xfId="0" applyBorder="1" applyFont="1"/>
    <xf borderId="0" fillId="0" fontId="6" numFmtId="0" xfId="0" applyFont="1"/>
    <xf borderId="8" fillId="4" fontId="4" numFmtId="0" xfId="0" applyAlignment="1" applyBorder="1" applyFont="1">
      <alignment horizontal="left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7" numFmtId="164" xfId="0" applyAlignment="1" applyBorder="1" applyFont="1" applyNumberFormat="1">
      <alignment vertical="center"/>
    </xf>
    <xf borderId="8" fillId="4" fontId="6" numFmtId="0" xfId="0" applyAlignment="1" applyBorder="1" applyFont="1">
      <alignment vertical="center"/>
    </xf>
    <xf borderId="8" fillId="4" fontId="6" numFmtId="0" xfId="0" applyBorder="1" applyFont="1"/>
    <xf borderId="8" fillId="0" fontId="6" numFmtId="0" xfId="0" applyAlignment="1" applyBorder="1" applyFont="1">
      <alignment readingOrder="0" vertical="center"/>
    </xf>
    <xf borderId="8" fillId="0" fontId="8" numFmtId="0" xfId="0" applyAlignment="1" applyBorder="1" applyFont="1">
      <alignment readingOrder="0" shrinkToFit="0" wrapText="1"/>
    </xf>
    <xf borderId="8" fillId="0" fontId="6" numFmtId="165" xfId="0" applyAlignment="1" applyBorder="1" applyFont="1" applyNumberFormat="1">
      <alignment readingOrder="0" vertical="center"/>
    </xf>
    <xf borderId="8" fillId="4" fontId="5" numFmtId="164" xfId="0" applyAlignment="1" applyBorder="1" applyFont="1" applyNumberFormat="1">
      <alignment vertical="center"/>
    </xf>
    <xf borderId="8" fillId="4" fontId="4" numFmtId="0" xfId="0" applyAlignment="1" applyBorder="1" applyFont="1">
      <alignment horizontal="left" readingOrder="0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4" fontId="7" numFmtId="164" xfId="0" applyAlignment="1" applyBorder="1" applyFont="1" applyNumberFormat="1">
      <alignment readingOrder="0" vertical="center"/>
    </xf>
    <xf borderId="8" fillId="8" fontId="6" numFmtId="0" xfId="0" applyAlignment="1" applyBorder="1" applyFill="1" applyFont="1">
      <alignment horizontal="center" vertical="center"/>
    </xf>
    <xf borderId="8" fillId="2" fontId="6" numFmtId="0" xfId="0" applyBorder="1" applyFont="1"/>
    <xf borderId="8" fillId="0" fontId="6" numFmtId="0" xfId="0" applyAlignment="1" applyBorder="1" applyFont="1">
      <alignment vertical="center"/>
    </xf>
    <xf borderId="8" fillId="4" fontId="6" numFmtId="0" xfId="0" applyAlignment="1" applyBorder="1" applyFont="1">
      <alignment readingOrder="0" shrinkToFit="0" vertical="center" wrapText="1"/>
    </xf>
    <xf borderId="8" fillId="4" fontId="6" numFmtId="165" xfId="0" applyAlignment="1" applyBorder="1" applyFont="1" applyNumberFormat="1">
      <alignment readingOrder="0"/>
    </xf>
    <xf borderId="8" fillId="0" fontId="6" numFmtId="165" xfId="0" applyAlignment="1" applyBorder="1" applyFont="1" applyNumberFormat="1">
      <alignment readingOrder="0"/>
    </xf>
    <xf borderId="8" fillId="4" fontId="3" numFmtId="165" xfId="0" applyAlignment="1" applyBorder="1" applyFont="1" applyNumberFormat="1">
      <alignment readingOrder="0" vertical="center"/>
    </xf>
    <xf borderId="8" fillId="4" fontId="3" numFmtId="0" xfId="0" applyAlignment="1" applyBorder="1" applyFont="1">
      <alignment vertical="center"/>
    </xf>
    <xf borderId="8" fillId="2" fontId="6" numFmtId="0" xfId="0" applyAlignment="1" applyBorder="1" applyFont="1">
      <alignment vertical="center"/>
    </xf>
    <xf borderId="8" fillId="4" fontId="6" numFmtId="0" xfId="0" applyAlignment="1" applyBorder="1" applyFont="1">
      <alignment readingOrder="0"/>
    </xf>
    <xf borderId="8" fillId="0" fontId="6" numFmtId="165" xfId="0" applyBorder="1" applyFont="1" applyNumberFormat="1"/>
    <xf borderId="8" fillId="4" fontId="5" numFmtId="0" xfId="0" applyAlignment="1" applyBorder="1" applyFont="1">
      <alignment horizontal="left" shrinkToFit="0" vertical="center" wrapText="1"/>
    </xf>
    <xf borderId="8" fillId="5" fontId="7" numFmtId="164" xfId="0" applyAlignment="1" applyBorder="1" applyFont="1" applyNumberFormat="1">
      <alignment vertical="center"/>
    </xf>
    <xf borderId="8" fillId="6" fontId="6" numFmtId="0" xfId="0" applyAlignment="1" applyBorder="1" applyFont="1">
      <alignment horizontal="left" shrinkToFit="0" vertical="center" wrapText="1"/>
    </xf>
    <xf borderId="8" fillId="0" fontId="8" numFmtId="165" xfId="0" applyAlignment="1" applyBorder="1" applyFont="1" applyNumberFormat="1">
      <alignment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8" fillId="4" fontId="6" numFmtId="0" xfId="0" applyAlignment="1" applyBorder="1" applyFont="1">
      <alignment readingOrder="0" vertical="center"/>
    </xf>
    <xf borderId="8" fillId="3" fontId="6" numFmtId="0" xfId="0" applyAlignment="1" applyBorder="1" applyFont="1">
      <alignment readingOrder="0" vertical="center"/>
    </xf>
    <xf borderId="8" fillId="6" fontId="7" numFmtId="164" xfId="0" applyAlignment="1" applyBorder="1" applyFont="1" applyNumberFormat="1">
      <alignment vertical="center"/>
    </xf>
    <xf borderId="8" fillId="6" fontId="6" numFmtId="0" xfId="0" applyAlignment="1" applyBorder="1" applyFont="1">
      <alignment shrinkToFit="0" vertical="center" wrapText="1"/>
    </xf>
    <xf borderId="8" fillId="6" fontId="6" numFmtId="0" xfId="0" applyAlignment="1" applyBorder="1" applyFont="1">
      <alignment vertical="center"/>
    </xf>
    <xf borderId="8" fillId="3" fontId="6" numFmtId="165" xfId="0" applyAlignment="1" applyBorder="1" applyFont="1" applyNumberFormat="1">
      <alignment vertical="center"/>
    </xf>
    <xf borderId="8" fillId="3" fontId="8" numFmtId="0" xfId="0" applyAlignment="1" applyBorder="1" applyFont="1">
      <alignment readingOrder="0" shrinkToFit="0" wrapText="1"/>
    </xf>
    <xf borderId="8" fillId="3" fontId="6" numFmtId="165" xfId="0" applyAlignment="1" applyBorder="1" applyFont="1" applyNumberFormat="1">
      <alignment readingOrder="0" vertical="center"/>
    </xf>
    <xf borderId="8" fillId="3" fontId="4" numFmtId="0" xfId="0" applyAlignment="1" applyBorder="1" applyFont="1">
      <alignment horizontal="left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8" fillId="3" fontId="7" numFmtId="164" xfId="0" applyAlignment="1" applyBorder="1" applyFont="1" applyNumberFormat="1">
      <alignment readingOrder="0" vertical="center"/>
    </xf>
    <xf borderId="8" fillId="3" fontId="6" numFmtId="0" xfId="0" applyAlignment="1" applyBorder="1" applyFont="1">
      <alignment vertical="center"/>
    </xf>
    <xf borderId="8" fillId="3" fontId="6" numFmtId="0" xfId="0" applyBorder="1" applyFont="1"/>
    <xf borderId="0" fillId="0" fontId="6" numFmtId="165" xfId="0" applyAlignment="1" applyFont="1" applyNumberFormat="1">
      <alignment readingOrder="0"/>
    </xf>
    <xf borderId="8" fillId="4" fontId="6" numFmtId="165" xfId="0" applyAlignment="1" applyBorder="1" applyFont="1" applyNumberFormat="1">
      <alignment readingOrder="0" vertical="center"/>
    </xf>
    <xf borderId="8" fillId="6" fontId="9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8" fillId="7" fontId="6" numFmtId="0" xfId="0" applyAlignment="1" applyBorder="1" applyFont="1">
      <alignment readingOrder="0" shrinkToFit="0" vertical="center" wrapText="1"/>
    </xf>
    <xf borderId="8" fillId="6" fontId="6" numFmtId="0" xfId="0" applyAlignment="1" applyBorder="1" applyFont="1">
      <alignment readingOrder="0" shrinkToFit="0" vertical="center" wrapText="1"/>
    </xf>
    <xf borderId="8" fillId="6" fontId="6" numFmtId="0" xfId="0" applyBorder="1" applyFont="1"/>
    <xf borderId="8" fillId="6" fontId="10" numFmtId="0" xfId="0" applyAlignment="1" applyBorder="1" applyFont="1">
      <alignment shrinkToFit="0" vertical="center" wrapText="1"/>
    </xf>
    <xf borderId="8" fillId="6" fontId="10" numFmtId="164" xfId="0" applyAlignment="1" applyBorder="1" applyFont="1" applyNumberFormat="1">
      <alignment shrinkToFit="0" vertical="center" wrapText="1"/>
    </xf>
    <xf borderId="8" fillId="0" fontId="10" numFmtId="164" xfId="0" applyAlignment="1" applyBorder="1" applyFont="1" applyNumberFormat="1">
      <alignment shrinkToFit="0" vertical="center" wrapText="1"/>
    </xf>
    <xf borderId="8" fillId="6" fontId="6" numFmtId="164" xfId="0" applyBorder="1" applyFont="1" applyNumberFormat="1"/>
    <xf borderId="8" fillId="0" fontId="5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7" numFmtId="164" xfId="0" applyAlignment="1" applyBorder="1" applyFont="1" applyNumberFormat="1">
      <alignment horizontal="center" readingOrder="0" shrinkToFit="0" vertical="center" wrapText="1"/>
    </xf>
    <xf borderId="8" fillId="0" fontId="6" numFmtId="0" xfId="0" applyAlignment="1" applyBorder="1" applyFont="1">
      <alignment readingOrder="0"/>
    </xf>
    <xf borderId="0" fillId="0" fontId="11" numFmtId="164" xfId="0" applyFont="1" applyNumberFormat="1"/>
    <xf borderId="0" fillId="0" fontId="12" numFmtId="0" xfId="0" applyAlignment="1" applyFont="1">
      <alignment horizontal="center" readingOrder="0"/>
    </xf>
    <xf borderId="0" fillId="0" fontId="11" numFmtId="165" xfId="0" applyAlignment="1" applyFont="1" applyNumberFormat="1">
      <alignment readingOrder="0"/>
    </xf>
    <xf borderId="0" fillId="0" fontId="12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QDD - ORÇAMENTO CLIMÁ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D - ORÇAMENTO CLIMÁTIC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D - ORÇAMENTO CLIMÁTIC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D - ORÇAMENTO CLIMÁTIC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D - ORÇAMENTO CLIMÁTIC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D - ORÇAMENTO CLIMÁTIC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DD - ORÇAMENTO CLIMÁTICO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L24" displayName="Tabela_1" name="Tabela_1" id="1">
  <tableColumns count="12">
    <tableColumn name="Eixo" id="1"/>
    <tableColumn name="Função" id="2"/>
    <tableColumn name="Subfunção" id="3"/>
    <tableColumn name="Órgão" id="4"/>
    <tableColumn name="Dotação" id="5"/>
    <tableColumn name="Observações (Detalhamento)" id="6"/>
    <tableColumn name="Valores - Emendas" id="7"/>
    <tableColumn name="Classificação do Gasto" id="8"/>
    <tableColumn name="Justificativa (ponderação em caso de gasto não-exclusivo)" id="9"/>
    <tableColumn name="Total Geral da Dotação" id="10"/>
    <tableColumn name="Classificação do Gasto 2" id="11"/>
    <tableColumn name="Dotação " id="12"/>
  </tableColumns>
  <tableStyleInfo name="QDD - ORÇAMENTO CLIMÁTICO-style" showColumnStripes="0" showFirstColumn="1" showLastColumn="1" showRowStripes="1"/>
</table>
</file>

<file path=xl/tables/table2.xml><?xml version="1.0" encoding="utf-8"?>
<table xmlns="http://schemas.openxmlformats.org/spreadsheetml/2006/main" headerRowCount="0" ref="A26:L26" displayName="Tabela_2" name="Tabela_2" id="2">
  <autoFilter ref="$A$26:$L$26"/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DD - ORÇAMENTO CLIMÁTIC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2:L52" displayName="Tabela_3" name="Tabela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DD - ORÇAMENTO CLIMÁTIC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15:L115" displayName="Tabela_4" name="Tabela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DD - ORÇAMENTO CLIMÁTIC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29:L129" displayName="Tabela_5" name="Tabela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DD - ORÇAMENTO CLIMÁTIC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36:L136" displayName="Tabela_6" name="Tabela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DD - ORÇAMENTO CLIMÁTIC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49:L149" displayName="Tabela_7" name="Tabela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DD - ORÇAMENTO CLIMÁTIC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43"/>
    <col customWidth="1" min="3" max="3" width="30.14"/>
    <col customWidth="1" min="4" max="4" width="26.0"/>
    <col customWidth="1" min="5" max="5" width="16.43"/>
    <col customWidth="1" min="6" max="6" width="13.14"/>
    <col customWidth="1" min="7" max="7" width="19.29"/>
    <col customWidth="1" min="8" max="8" width="21.86"/>
    <col customWidth="1" min="9" max="9" width="18.71"/>
    <col customWidth="1" min="10" max="10" width="29.29"/>
    <col customWidth="1" min="11" max="12" width="21.86"/>
    <col customWidth="1" min="13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  <c r="K1" s="6" t="s">
        <v>2</v>
      </c>
      <c r="L1" s="2"/>
    </row>
    <row r="2" ht="45.0" customHeight="1">
      <c r="A2" s="7" t="s">
        <v>3</v>
      </c>
      <c r="B2" s="8" t="s">
        <v>4</v>
      </c>
      <c r="C2" s="9" t="s">
        <v>5</v>
      </c>
      <c r="D2" s="10" t="s">
        <v>6</v>
      </c>
      <c r="E2" s="11"/>
      <c r="F2" s="11"/>
      <c r="G2" s="12"/>
      <c r="H2" s="13"/>
      <c r="I2" s="13"/>
      <c r="J2" s="14"/>
      <c r="K2" s="13"/>
      <c r="L2" s="14"/>
    </row>
    <row r="3">
      <c r="A3" s="15"/>
      <c r="B3" s="15"/>
      <c r="C3" s="15"/>
      <c r="D3" s="16"/>
      <c r="G3" s="17"/>
      <c r="H3" s="13"/>
      <c r="I3" s="13"/>
      <c r="J3" s="14"/>
      <c r="K3" s="13"/>
      <c r="L3" s="14"/>
    </row>
    <row r="4">
      <c r="A4" s="15"/>
      <c r="B4" s="15"/>
      <c r="C4" s="15"/>
      <c r="D4" s="16"/>
      <c r="G4" s="17"/>
      <c r="H4" s="13"/>
      <c r="I4" s="13"/>
      <c r="J4" s="14"/>
      <c r="K4" s="13"/>
      <c r="L4" s="14"/>
    </row>
    <row r="5">
      <c r="A5" s="18"/>
      <c r="B5" s="18"/>
      <c r="C5" s="18"/>
      <c r="D5" s="19"/>
      <c r="E5" s="20"/>
      <c r="F5" s="20"/>
      <c r="G5" s="21"/>
      <c r="H5" s="13"/>
      <c r="I5" s="13"/>
      <c r="J5" s="14"/>
      <c r="K5" s="13"/>
      <c r="L5" s="14"/>
    </row>
    <row r="6" ht="22.5" customHeight="1">
      <c r="A6" s="22" t="s">
        <v>7</v>
      </c>
      <c r="B6" s="23" t="s">
        <v>8</v>
      </c>
      <c r="C6" s="23" t="s">
        <v>9</v>
      </c>
      <c r="D6" s="23" t="s">
        <v>10</v>
      </c>
      <c r="E6" s="23" t="s">
        <v>11</v>
      </c>
      <c r="F6" s="23" t="s">
        <v>12</v>
      </c>
      <c r="G6" s="23" t="s">
        <v>13</v>
      </c>
      <c r="H6" s="24" t="s">
        <v>14</v>
      </c>
      <c r="I6" s="24" t="s">
        <v>15</v>
      </c>
      <c r="J6" s="24" t="s">
        <v>16</v>
      </c>
      <c r="K6" s="24" t="s">
        <v>17</v>
      </c>
      <c r="L6" s="24" t="s">
        <v>18</v>
      </c>
    </row>
    <row r="7" ht="22.5" customHeight="1">
      <c r="A7" s="25" t="s">
        <v>19</v>
      </c>
      <c r="B7" s="25" t="s">
        <v>20</v>
      </c>
      <c r="C7" s="26">
        <v>541.0</v>
      </c>
      <c r="D7" s="27" t="s">
        <v>21</v>
      </c>
      <c r="E7" s="28">
        <v>5804910.8</v>
      </c>
      <c r="F7" s="29" t="s">
        <v>22</v>
      </c>
      <c r="G7" s="30"/>
      <c r="H7" s="31" t="s">
        <v>23</v>
      </c>
      <c r="I7" s="32"/>
      <c r="J7" s="33">
        <v>1.57407417174E9</v>
      </c>
      <c r="K7" s="34"/>
      <c r="L7" s="28"/>
    </row>
    <row r="8" ht="22.5" customHeight="1">
      <c r="A8" s="25" t="s">
        <v>19</v>
      </c>
      <c r="B8" s="25" t="s">
        <v>20</v>
      </c>
      <c r="C8" s="26">
        <v>541.0</v>
      </c>
      <c r="D8" s="35" t="s">
        <v>24</v>
      </c>
      <c r="E8" s="28">
        <v>804910.8</v>
      </c>
      <c r="F8" s="30"/>
      <c r="G8" s="30"/>
      <c r="H8" s="31" t="s">
        <v>23</v>
      </c>
      <c r="I8" s="32"/>
      <c r="J8" s="33">
        <v>1362816.0</v>
      </c>
      <c r="K8" s="34"/>
      <c r="L8" s="28"/>
    </row>
    <row r="9" ht="22.5" customHeight="1">
      <c r="A9" s="25" t="s">
        <v>19</v>
      </c>
      <c r="B9" s="25" t="s">
        <v>20</v>
      </c>
      <c r="C9" s="26">
        <v>541.0</v>
      </c>
      <c r="D9" s="35" t="s">
        <v>25</v>
      </c>
      <c r="E9" s="36">
        <v>4036000.0</v>
      </c>
      <c r="F9" s="37" t="s">
        <v>26</v>
      </c>
      <c r="G9" s="38" t="s">
        <v>27</v>
      </c>
      <c r="H9" s="31" t="s">
        <v>23</v>
      </c>
      <c r="I9" s="39"/>
      <c r="J9" s="40">
        <v>1.669915437E7</v>
      </c>
      <c r="K9" s="34"/>
      <c r="L9" s="28"/>
    </row>
    <row r="10" ht="22.5" customHeight="1">
      <c r="A10" s="25" t="s">
        <v>19</v>
      </c>
      <c r="B10" s="25" t="s">
        <v>20</v>
      </c>
      <c r="C10" s="26">
        <v>541.0</v>
      </c>
      <c r="D10" s="27" t="s">
        <v>28</v>
      </c>
      <c r="E10" s="41">
        <v>1000.0</v>
      </c>
      <c r="F10" s="30" t="s">
        <v>29</v>
      </c>
      <c r="G10" s="30"/>
      <c r="H10" s="31" t="s">
        <v>23</v>
      </c>
      <c r="I10" s="32"/>
      <c r="J10" s="33">
        <v>3000.0</v>
      </c>
      <c r="K10" s="34"/>
      <c r="L10" s="28"/>
    </row>
    <row r="11" ht="22.5" customHeight="1">
      <c r="A11" s="25" t="s">
        <v>19</v>
      </c>
      <c r="B11" s="25" t="s">
        <v>20</v>
      </c>
      <c r="C11" s="26">
        <v>543.0</v>
      </c>
      <c r="D11" s="35" t="s">
        <v>25</v>
      </c>
      <c r="E11" s="42">
        <v>430000.0</v>
      </c>
      <c r="F11" s="38" t="s">
        <v>30</v>
      </c>
      <c r="G11" s="43" t="s">
        <v>31</v>
      </c>
      <c r="H11" s="31" t="s">
        <v>23</v>
      </c>
      <c r="I11" s="44"/>
      <c r="J11" s="45"/>
      <c r="K11" s="34"/>
      <c r="L11" s="28"/>
    </row>
    <row r="12" ht="22.5" customHeight="1">
      <c r="A12" s="25" t="s">
        <v>19</v>
      </c>
      <c r="B12" s="25" t="s">
        <v>32</v>
      </c>
      <c r="C12" s="46">
        <v>605.0</v>
      </c>
      <c r="D12" s="27" t="s">
        <v>33</v>
      </c>
      <c r="E12" s="47">
        <v>6000000.0</v>
      </c>
      <c r="F12" s="29" t="s">
        <v>34</v>
      </c>
      <c r="G12" s="48"/>
      <c r="H12" s="31" t="s">
        <v>23</v>
      </c>
      <c r="I12" s="49"/>
      <c r="J12" s="33">
        <v>1.149042E8</v>
      </c>
      <c r="K12" s="34"/>
      <c r="L12" s="28"/>
    </row>
    <row r="13" ht="22.5" customHeight="1">
      <c r="A13" s="25" t="s">
        <v>19</v>
      </c>
      <c r="B13" s="25" t="s">
        <v>32</v>
      </c>
      <c r="C13" s="46">
        <v>605.0</v>
      </c>
      <c r="D13" s="27" t="s">
        <v>35</v>
      </c>
      <c r="E13" s="47">
        <v>1220809.49</v>
      </c>
      <c r="F13" s="38"/>
      <c r="G13" s="48"/>
      <c r="H13" s="31" t="s">
        <v>23</v>
      </c>
      <c r="I13" s="49"/>
      <c r="J13" s="40">
        <v>1.610885063E7</v>
      </c>
      <c r="K13" s="34"/>
      <c r="L13" s="28"/>
    </row>
    <row r="14" ht="22.5" customHeight="1">
      <c r="A14" s="25" t="s">
        <v>19</v>
      </c>
      <c r="B14" s="25" t="s">
        <v>32</v>
      </c>
      <c r="C14" s="26">
        <v>606.0</v>
      </c>
      <c r="D14" s="35" t="s">
        <v>33</v>
      </c>
      <c r="E14" s="50">
        <v>3391000.0</v>
      </c>
      <c r="F14" s="51" t="s">
        <v>36</v>
      </c>
      <c r="G14" s="43" t="s">
        <v>37</v>
      </c>
      <c r="H14" s="31" t="s">
        <v>23</v>
      </c>
      <c r="I14" s="44"/>
      <c r="J14" s="45"/>
      <c r="K14" s="34"/>
      <c r="L14" s="28"/>
    </row>
    <row r="15" ht="22.5" customHeight="1">
      <c r="A15" s="25" t="s">
        <v>19</v>
      </c>
      <c r="B15" s="25" t="s">
        <v>32</v>
      </c>
      <c r="C15" s="26">
        <v>606.0</v>
      </c>
      <c r="D15" s="35" t="s">
        <v>38</v>
      </c>
      <c r="E15" s="41">
        <f>23538288.76-21095517.31</f>
        <v>2442771.45</v>
      </c>
      <c r="F15" s="52" t="s">
        <v>39</v>
      </c>
      <c r="G15" s="30"/>
      <c r="H15" s="31" t="s">
        <v>23</v>
      </c>
      <c r="I15" s="32"/>
      <c r="J15" s="33">
        <v>2.642052282E7</v>
      </c>
      <c r="K15" s="34"/>
      <c r="L15" s="28"/>
    </row>
    <row r="16" ht="22.5" customHeight="1">
      <c r="A16" s="25" t="s">
        <v>19</v>
      </c>
      <c r="B16" s="25" t="s">
        <v>32</v>
      </c>
      <c r="C16" s="46">
        <v>608.0</v>
      </c>
      <c r="D16" s="27" t="s">
        <v>33</v>
      </c>
      <c r="E16" s="47">
        <f>94804200-2000000</f>
        <v>92804200</v>
      </c>
      <c r="F16" s="30"/>
      <c r="G16" s="30"/>
      <c r="H16" s="31" t="s">
        <v>23</v>
      </c>
      <c r="I16" s="32"/>
      <c r="J16" s="53"/>
      <c r="K16" s="34"/>
      <c r="L16" s="28"/>
    </row>
    <row r="17" ht="22.5" customHeight="1">
      <c r="A17" s="25" t="s">
        <v>19</v>
      </c>
      <c r="B17" s="25" t="s">
        <v>32</v>
      </c>
      <c r="C17" s="46">
        <v>608.0</v>
      </c>
      <c r="D17" s="27" t="s">
        <v>40</v>
      </c>
      <c r="E17" s="47">
        <v>2000000.0</v>
      </c>
      <c r="F17" s="30"/>
      <c r="G17" s="30"/>
      <c r="H17" s="31" t="s">
        <v>23</v>
      </c>
      <c r="I17" s="32"/>
      <c r="J17" s="33">
        <v>2001000.0</v>
      </c>
      <c r="K17" s="34"/>
      <c r="L17" s="28"/>
    </row>
    <row r="18" ht="22.5" customHeight="1">
      <c r="A18" s="25" t="s">
        <v>19</v>
      </c>
      <c r="B18" s="25" t="s">
        <v>41</v>
      </c>
      <c r="C18" s="26">
        <v>122.0</v>
      </c>
      <c r="D18" s="27" t="s">
        <v>42</v>
      </c>
      <c r="E18" s="41">
        <v>3890000.0</v>
      </c>
      <c r="F18" s="30"/>
      <c r="G18" s="30"/>
      <c r="H18" s="31" t="s">
        <v>23</v>
      </c>
      <c r="I18" s="32"/>
      <c r="J18" s="33">
        <v>8500000.0</v>
      </c>
      <c r="K18" s="34"/>
      <c r="L18" s="28"/>
    </row>
    <row r="19" ht="22.5" customHeight="1">
      <c r="A19" s="25" t="s">
        <v>19</v>
      </c>
      <c r="B19" s="25" t="s">
        <v>43</v>
      </c>
      <c r="C19" s="26">
        <v>691.0</v>
      </c>
      <c r="D19" s="35" t="s">
        <v>44</v>
      </c>
      <c r="E19" s="41">
        <v>1361000.0</v>
      </c>
      <c r="F19" s="54"/>
      <c r="G19" s="55"/>
      <c r="H19" s="31" t="s">
        <v>45</v>
      </c>
      <c r="I19" s="56" t="s">
        <v>46</v>
      </c>
      <c r="J19" s="33">
        <v>7520000.0</v>
      </c>
      <c r="K19" s="34"/>
      <c r="L19" s="28"/>
    </row>
    <row r="20" ht="22.5" customHeight="1">
      <c r="A20" s="25" t="s">
        <v>19</v>
      </c>
      <c r="B20" s="25" t="s">
        <v>43</v>
      </c>
      <c r="C20" s="26">
        <v>691.0</v>
      </c>
      <c r="D20" s="35" t="s">
        <v>47</v>
      </c>
      <c r="E20" s="42">
        <v>330000.0</v>
      </c>
      <c r="F20" s="38" t="s">
        <v>48</v>
      </c>
      <c r="G20" s="38" t="s">
        <v>49</v>
      </c>
      <c r="H20" s="31" t="s">
        <v>23</v>
      </c>
      <c r="I20" s="39"/>
      <c r="J20" s="57">
        <v>1.458827912E7</v>
      </c>
      <c r="K20" s="34"/>
      <c r="L20" s="28"/>
    </row>
    <row r="21" ht="22.5" customHeight="1">
      <c r="A21" s="25" t="s">
        <v>19</v>
      </c>
      <c r="B21" s="25" t="s">
        <v>43</v>
      </c>
      <c r="C21" s="26">
        <v>691.0</v>
      </c>
      <c r="D21" s="35" t="s">
        <v>50</v>
      </c>
      <c r="E21" s="50">
        <v>1315393.95</v>
      </c>
      <c r="F21" s="38" t="s">
        <v>51</v>
      </c>
      <c r="G21" s="38" t="s">
        <v>52</v>
      </c>
      <c r="H21" s="31" t="s">
        <v>23</v>
      </c>
      <c r="I21" s="39"/>
      <c r="J21" s="57"/>
      <c r="K21" s="34"/>
      <c r="L21" s="28"/>
    </row>
    <row r="22" ht="22.5" customHeight="1">
      <c r="A22" s="25" t="s">
        <v>19</v>
      </c>
      <c r="B22" s="25" t="s">
        <v>43</v>
      </c>
      <c r="C22" s="26">
        <v>691.0</v>
      </c>
      <c r="D22" s="35" t="s">
        <v>53</v>
      </c>
      <c r="E22" s="41">
        <f>7501000-6115071.3</f>
        <v>1385928.7</v>
      </c>
      <c r="F22" s="52" t="s">
        <v>54</v>
      </c>
      <c r="G22" s="55"/>
      <c r="H22" s="31" t="s">
        <v>23</v>
      </c>
      <c r="I22" s="32"/>
      <c r="J22" s="33">
        <v>7501000.0</v>
      </c>
      <c r="K22" s="34"/>
      <c r="L22" s="28"/>
    </row>
    <row r="23" ht="15.75" customHeight="1">
      <c r="A23" s="25" t="s">
        <v>19</v>
      </c>
      <c r="B23" s="25" t="s">
        <v>43</v>
      </c>
      <c r="C23" s="26">
        <v>691.0</v>
      </c>
      <c r="D23" s="27" t="s">
        <v>55</v>
      </c>
      <c r="E23" s="41">
        <v>1090000.0</v>
      </c>
      <c r="F23" s="55"/>
      <c r="G23" s="55"/>
      <c r="H23" s="31" t="s">
        <v>45</v>
      </c>
      <c r="I23" s="56" t="s">
        <v>56</v>
      </c>
      <c r="J23" s="58">
        <v>6000000.0</v>
      </c>
      <c r="K23" s="34"/>
      <c r="L23" s="28"/>
    </row>
    <row r="24" ht="15.75" customHeight="1">
      <c r="A24" s="59"/>
      <c r="B24" s="59"/>
      <c r="C24" s="60"/>
      <c r="D24" s="61"/>
      <c r="E24" s="62"/>
      <c r="F24" s="63"/>
      <c r="G24" s="64"/>
      <c r="H24" s="65"/>
      <c r="I24" s="66"/>
      <c r="J24" s="53"/>
      <c r="K24" s="65"/>
      <c r="L24" s="66"/>
    </row>
    <row r="25" ht="15.75" customHeight="1">
      <c r="A25" s="67"/>
      <c r="B25" s="67"/>
      <c r="C25" s="68"/>
      <c r="D25" s="68"/>
      <c r="E25" s="69"/>
      <c r="F25" s="70"/>
      <c r="G25" s="71"/>
      <c r="H25" s="71"/>
      <c r="I25" s="72"/>
      <c r="J25" s="72"/>
      <c r="K25" s="71"/>
      <c r="L25" s="72"/>
    </row>
    <row r="26" ht="15.75" customHeight="1">
      <c r="A26" s="22" t="s">
        <v>7</v>
      </c>
      <c r="B26" s="23" t="s">
        <v>8</v>
      </c>
      <c r="C26" s="23" t="s">
        <v>9</v>
      </c>
      <c r="D26" s="23" t="s">
        <v>10</v>
      </c>
      <c r="E26" s="23" t="s">
        <v>11</v>
      </c>
      <c r="F26" s="23" t="s">
        <v>12</v>
      </c>
      <c r="G26" s="23" t="s">
        <v>13</v>
      </c>
      <c r="H26" s="24" t="s">
        <v>14</v>
      </c>
      <c r="I26" s="24" t="s">
        <v>15</v>
      </c>
      <c r="J26" s="24" t="s">
        <v>16</v>
      </c>
      <c r="K26" s="24" t="s">
        <v>14</v>
      </c>
      <c r="L26" s="24" t="s">
        <v>57</v>
      </c>
    </row>
    <row r="27" ht="15.75" customHeight="1">
      <c r="A27" s="73" t="s">
        <v>58</v>
      </c>
      <c r="B27" s="73" t="s">
        <v>59</v>
      </c>
      <c r="C27" s="74">
        <v>121.0</v>
      </c>
      <c r="D27" s="75" t="s">
        <v>60</v>
      </c>
      <c r="E27" s="76">
        <v>2.372634362E8</v>
      </c>
      <c r="F27" s="77"/>
      <c r="G27" s="78"/>
      <c r="H27" s="79" t="s">
        <v>45</v>
      </c>
      <c r="I27" s="80" t="s">
        <v>61</v>
      </c>
      <c r="J27" s="81">
        <v>3.623719232E8</v>
      </c>
      <c r="K27" s="79"/>
      <c r="L27" s="82"/>
    </row>
    <row r="28" ht="15.75" customHeight="1">
      <c r="A28" s="73" t="s">
        <v>58</v>
      </c>
      <c r="B28" s="83" t="s">
        <v>62</v>
      </c>
      <c r="C28" s="84">
        <v>122.0</v>
      </c>
      <c r="D28" s="85" t="s">
        <v>60</v>
      </c>
      <c r="E28" s="86">
        <f>607603.03+1738900</f>
        <v>2346503.03</v>
      </c>
      <c r="F28" s="87"/>
      <c r="G28" s="88"/>
      <c r="H28" s="79" t="s">
        <v>45</v>
      </c>
      <c r="I28" s="80" t="s">
        <v>63</v>
      </c>
      <c r="J28" s="89"/>
      <c r="K28" s="79"/>
      <c r="L28" s="82"/>
    </row>
    <row r="29" ht="15.75" customHeight="1">
      <c r="A29" s="73" t="s">
        <v>58</v>
      </c>
      <c r="B29" s="83" t="s">
        <v>62</v>
      </c>
      <c r="C29" s="84">
        <v>752.0</v>
      </c>
      <c r="D29" s="85" t="s">
        <v>60</v>
      </c>
      <c r="E29" s="86">
        <v>1000.0</v>
      </c>
      <c r="F29" s="90" t="s">
        <v>64</v>
      </c>
      <c r="G29" s="91"/>
      <c r="H29" s="79" t="s">
        <v>23</v>
      </c>
      <c r="I29" s="92"/>
      <c r="J29" s="81"/>
      <c r="K29" s="79"/>
      <c r="L29" s="82"/>
    </row>
    <row r="30" ht="15.75" customHeight="1">
      <c r="A30" s="73" t="s">
        <v>58</v>
      </c>
      <c r="B30" s="83" t="s">
        <v>62</v>
      </c>
      <c r="C30" s="84">
        <v>752.0</v>
      </c>
      <c r="D30" s="85" t="s">
        <v>65</v>
      </c>
      <c r="E30" s="86">
        <v>1000.0</v>
      </c>
      <c r="F30" s="90" t="s">
        <v>64</v>
      </c>
      <c r="G30" s="91"/>
      <c r="H30" s="79" t="s">
        <v>23</v>
      </c>
      <c r="I30" s="92"/>
      <c r="J30" s="81"/>
      <c r="K30" s="79"/>
      <c r="L30" s="82"/>
    </row>
    <row r="31" ht="15.75" customHeight="1">
      <c r="A31" s="73" t="s">
        <v>58</v>
      </c>
      <c r="B31" s="83" t="s">
        <v>62</v>
      </c>
      <c r="C31" s="84">
        <v>752.0</v>
      </c>
      <c r="D31" s="85" t="s">
        <v>66</v>
      </c>
      <c r="E31" s="86">
        <v>1000.0</v>
      </c>
      <c r="F31" s="90" t="s">
        <v>64</v>
      </c>
      <c r="G31" s="91"/>
      <c r="H31" s="79" t="s">
        <v>23</v>
      </c>
      <c r="I31" s="92"/>
      <c r="J31" s="81"/>
      <c r="K31" s="79"/>
      <c r="L31" s="82"/>
    </row>
    <row r="32" ht="15.75" customHeight="1">
      <c r="A32" s="73" t="s">
        <v>58</v>
      </c>
      <c r="B32" s="83" t="s">
        <v>67</v>
      </c>
      <c r="C32" s="85">
        <v>542.0</v>
      </c>
      <c r="D32" s="85" t="s">
        <v>68</v>
      </c>
      <c r="E32" s="86">
        <v>1198684.01</v>
      </c>
      <c r="F32" s="90" t="s">
        <v>69</v>
      </c>
      <c r="G32" s="91"/>
      <c r="H32" s="79" t="s">
        <v>23</v>
      </c>
      <c r="I32" s="92"/>
      <c r="J32" s="81"/>
      <c r="K32" s="79"/>
      <c r="L32" s="82"/>
    </row>
    <row r="33" ht="15.75" customHeight="1">
      <c r="A33" s="73" t="s">
        <v>58</v>
      </c>
      <c r="B33" s="83" t="s">
        <v>67</v>
      </c>
      <c r="C33" s="85">
        <v>542.0</v>
      </c>
      <c r="D33" s="85" t="s">
        <v>70</v>
      </c>
      <c r="E33" s="86">
        <v>1000.0</v>
      </c>
      <c r="F33" s="90" t="s">
        <v>69</v>
      </c>
      <c r="G33" s="91"/>
      <c r="H33" s="79" t="s">
        <v>23</v>
      </c>
      <c r="I33" s="92"/>
      <c r="J33" s="81">
        <f>56229691.52+1000+305000</f>
        <v>56535691.52</v>
      </c>
      <c r="K33" s="79"/>
      <c r="L33" s="82"/>
    </row>
    <row r="34" ht="15.75" customHeight="1">
      <c r="A34" s="73" t="s">
        <v>58</v>
      </c>
      <c r="B34" s="83" t="s">
        <v>71</v>
      </c>
      <c r="C34" s="85">
        <v>512.0</v>
      </c>
      <c r="D34" s="85" t="s">
        <v>72</v>
      </c>
      <c r="E34" s="86">
        <v>31000.0</v>
      </c>
      <c r="F34" s="90" t="s">
        <v>73</v>
      </c>
      <c r="G34" s="78"/>
      <c r="H34" s="79" t="s">
        <v>23</v>
      </c>
      <c r="I34" s="92"/>
      <c r="J34" s="81"/>
      <c r="K34" s="79"/>
      <c r="L34" s="82"/>
    </row>
    <row r="35" ht="15.75" customHeight="1">
      <c r="A35" s="73" t="s">
        <v>58</v>
      </c>
      <c r="B35" s="83" t="s">
        <v>71</v>
      </c>
      <c r="C35" s="85">
        <v>752.0</v>
      </c>
      <c r="D35" s="85" t="s">
        <v>72</v>
      </c>
      <c r="E35" s="86">
        <v>1000.0</v>
      </c>
      <c r="F35" s="90" t="s">
        <v>64</v>
      </c>
      <c r="G35" s="78"/>
      <c r="H35" s="79" t="s">
        <v>23</v>
      </c>
      <c r="I35" s="92"/>
      <c r="J35" s="81"/>
      <c r="K35" s="79"/>
      <c r="L35" s="82"/>
    </row>
    <row r="36" ht="15.75" customHeight="1">
      <c r="A36" s="73" t="s">
        <v>58</v>
      </c>
      <c r="B36" s="73" t="s">
        <v>74</v>
      </c>
      <c r="C36" s="85">
        <v>122.0</v>
      </c>
      <c r="D36" s="75" t="s">
        <v>25</v>
      </c>
      <c r="E36" s="86">
        <v>2102764.37</v>
      </c>
      <c r="F36" s="93"/>
      <c r="G36" s="78"/>
      <c r="H36" s="79" t="s">
        <v>23</v>
      </c>
      <c r="I36" s="92"/>
      <c r="J36" s="81">
        <v>1.669915437E7</v>
      </c>
      <c r="K36" s="79"/>
      <c r="L36" s="82"/>
    </row>
    <row r="37" ht="15.75" customHeight="1">
      <c r="A37" s="73" t="s">
        <v>58</v>
      </c>
      <c r="B37" s="73" t="s">
        <v>74</v>
      </c>
      <c r="C37" s="85">
        <v>122.0</v>
      </c>
      <c r="D37" s="85" t="s">
        <v>75</v>
      </c>
      <c r="E37" s="86">
        <v>5001200.0</v>
      </c>
      <c r="F37" s="94"/>
      <c r="G37" s="78"/>
      <c r="H37" s="79" t="s">
        <v>23</v>
      </c>
      <c r="I37" s="71"/>
      <c r="J37" s="81">
        <v>5004200.0</v>
      </c>
      <c r="K37" s="79"/>
      <c r="L37" s="82"/>
    </row>
    <row r="38" ht="15.75" customHeight="1">
      <c r="A38" s="73" t="s">
        <v>58</v>
      </c>
      <c r="B38" s="73" t="s">
        <v>74</v>
      </c>
      <c r="C38" s="85">
        <v>122.0</v>
      </c>
      <c r="D38" s="85" t="s">
        <v>28</v>
      </c>
      <c r="E38" s="86">
        <v>1000.0</v>
      </c>
      <c r="F38" s="95"/>
      <c r="G38" s="88"/>
      <c r="H38" s="79" t="s">
        <v>23</v>
      </c>
      <c r="I38" s="71"/>
      <c r="J38" s="81">
        <v>3000.0</v>
      </c>
      <c r="K38" s="79"/>
      <c r="L38" s="82"/>
    </row>
    <row r="39" ht="15.75" customHeight="1">
      <c r="A39" s="73" t="s">
        <v>58</v>
      </c>
      <c r="B39" s="73" t="s">
        <v>74</v>
      </c>
      <c r="C39" s="85">
        <v>122.0</v>
      </c>
      <c r="D39" s="75" t="s">
        <v>76</v>
      </c>
      <c r="E39" s="86">
        <v>1698810.85</v>
      </c>
      <c r="F39" s="95"/>
      <c r="G39" s="88"/>
      <c r="H39" s="79" t="s">
        <v>23</v>
      </c>
      <c r="I39" s="71"/>
      <c r="J39" s="81"/>
      <c r="K39" s="79"/>
      <c r="L39" s="82"/>
    </row>
    <row r="40" ht="15.75" customHeight="1">
      <c r="A40" s="73" t="s">
        <v>58</v>
      </c>
      <c r="B40" s="73" t="s">
        <v>74</v>
      </c>
      <c r="C40" s="85">
        <v>122.0</v>
      </c>
      <c r="D40" s="85" t="s">
        <v>77</v>
      </c>
      <c r="E40" s="86">
        <v>262000.0</v>
      </c>
      <c r="F40" s="95"/>
      <c r="G40" s="88"/>
      <c r="H40" s="79" t="s">
        <v>23</v>
      </c>
      <c r="I40" s="71"/>
      <c r="J40" s="81"/>
      <c r="K40" s="79"/>
      <c r="L40" s="82"/>
    </row>
    <row r="41" ht="15.75" customHeight="1">
      <c r="A41" s="73" t="s">
        <v>58</v>
      </c>
      <c r="B41" s="73" t="s">
        <v>74</v>
      </c>
      <c r="C41" s="85">
        <v>541.0</v>
      </c>
      <c r="D41" s="85" t="s">
        <v>77</v>
      </c>
      <c r="E41" s="86">
        <v>8000.0</v>
      </c>
      <c r="F41" s="95"/>
      <c r="G41" s="88"/>
      <c r="H41" s="79" t="s">
        <v>23</v>
      </c>
      <c r="I41" s="71"/>
      <c r="J41" s="81">
        <v>275000.0</v>
      </c>
      <c r="K41" s="79"/>
      <c r="L41" s="82"/>
    </row>
    <row r="42" ht="15.75" customHeight="1">
      <c r="A42" s="73" t="s">
        <v>58</v>
      </c>
      <c r="B42" s="73" t="s">
        <v>74</v>
      </c>
      <c r="C42" s="75">
        <v>542.0</v>
      </c>
      <c r="D42" s="75" t="s">
        <v>25</v>
      </c>
      <c r="E42" s="86">
        <v>1.050039E7</v>
      </c>
      <c r="F42" s="93"/>
      <c r="G42" s="96"/>
      <c r="H42" s="79" t="s">
        <v>23</v>
      </c>
      <c r="I42" s="71"/>
      <c r="J42" s="97"/>
      <c r="K42" s="79"/>
      <c r="L42" s="82"/>
    </row>
    <row r="43" ht="15.75" customHeight="1">
      <c r="A43" s="73" t="s">
        <v>58</v>
      </c>
      <c r="B43" s="73" t="s">
        <v>74</v>
      </c>
      <c r="C43" s="75">
        <v>542.0</v>
      </c>
      <c r="D43" s="75" t="s">
        <v>76</v>
      </c>
      <c r="E43" s="76">
        <f>4955904-1000</f>
        <v>4954904</v>
      </c>
      <c r="F43" s="94"/>
      <c r="G43" s="78"/>
      <c r="H43" s="79" t="s">
        <v>23</v>
      </c>
      <c r="I43" s="71"/>
      <c r="J43" s="92">
        <v>6656714.85</v>
      </c>
      <c r="K43" s="79"/>
      <c r="L43" s="82"/>
    </row>
    <row r="44" ht="15.75" customHeight="1">
      <c r="A44" s="73" t="s">
        <v>58</v>
      </c>
      <c r="B44" s="73" t="s">
        <v>74</v>
      </c>
      <c r="C44" s="75">
        <v>542.0</v>
      </c>
      <c r="D44" s="85" t="s">
        <v>75</v>
      </c>
      <c r="E44" s="86">
        <v>3000.0</v>
      </c>
      <c r="F44" s="94"/>
      <c r="G44" s="78"/>
      <c r="H44" s="79" t="s">
        <v>23</v>
      </c>
      <c r="I44" s="71"/>
      <c r="J44" s="71"/>
      <c r="K44" s="79"/>
      <c r="L44" s="82"/>
    </row>
    <row r="45" ht="15.75" customHeight="1">
      <c r="A45" s="73" t="s">
        <v>58</v>
      </c>
      <c r="B45" s="73" t="s">
        <v>74</v>
      </c>
      <c r="C45" s="75">
        <v>542.0</v>
      </c>
      <c r="D45" s="85" t="s">
        <v>28</v>
      </c>
      <c r="E45" s="86">
        <v>1000.0</v>
      </c>
      <c r="F45" s="95"/>
      <c r="G45" s="88"/>
      <c r="H45" s="79" t="s">
        <v>23</v>
      </c>
      <c r="I45" s="71"/>
      <c r="J45" s="92"/>
      <c r="K45" s="79"/>
      <c r="L45" s="82"/>
    </row>
    <row r="46" ht="15.75" customHeight="1">
      <c r="A46" s="73" t="s">
        <v>58</v>
      </c>
      <c r="B46" s="98" t="s">
        <v>78</v>
      </c>
      <c r="C46" s="75">
        <v>752.0</v>
      </c>
      <c r="D46" s="85" t="s">
        <v>79</v>
      </c>
      <c r="E46" s="76">
        <v>70000.0</v>
      </c>
      <c r="F46" s="95"/>
      <c r="G46" s="88"/>
      <c r="H46" s="79" t="s">
        <v>45</v>
      </c>
      <c r="I46" s="80" t="s">
        <v>80</v>
      </c>
      <c r="J46" s="81">
        <v>1.300055E8</v>
      </c>
      <c r="K46" s="79"/>
      <c r="L46" s="82"/>
    </row>
    <row r="47" ht="15.75" customHeight="1">
      <c r="A47" s="73" t="s">
        <v>58</v>
      </c>
      <c r="B47" s="73" t="s">
        <v>81</v>
      </c>
      <c r="C47" s="74">
        <v>782.0</v>
      </c>
      <c r="D47" s="75" t="s">
        <v>82</v>
      </c>
      <c r="E47" s="99">
        <f>248624890-147451665.82</f>
        <v>101173224.2</v>
      </c>
      <c r="F47" s="100" t="s">
        <v>83</v>
      </c>
      <c r="G47" s="100" t="s">
        <v>84</v>
      </c>
      <c r="H47" s="79" t="s">
        <v>45</v>
      </c>
      <c r="I47" s="101" t="s">
        <v>85</v>
      </c>
      <c r="J47" s="81">
        <v>3.0037336975E8</v>
      </c>
      <c r="K47" s="79"/>
      <c r="L47" s="82"/>
    </row>
    <row r="48" ht="15.75" customHeight="1">
      <c r="A48" s="73" t="s">
        <v>58</v>
      </c>
      <c r="B48" s="73" t="s">
        <v>81</v>
      </c>
      <c r="C48" s="74">
        <v>782.0</v>
      </c>
      <c r="D48" s="85" t="s">
        <v>86</v>
      </c>
      <c r="E48" s="86">
        <v>0.0</v>
      </c>
      <c r="F48" s="77"/>
      <c r="G48" s="78"/>
      <c r="H48" s="89"/>
      <c r="I48" s="71"/>
      <c r="J48" s="81">
        <v>4026473.0</v>
      </c>
      <c r="K48" s="79"/>
      <c r="L48" s="82"/>
    </row>
    <row r="49" ht="15.75" customHeight="1">
      <c r="A49" s="73" t="s">
        <v>58</v>
      </c>
      <c r="B49" s="73" t="s">
        <v>81</v>
      </c>
      <c r="C49" s="74">
        <v>782.0</v>
      </c>
      <c r="D49" s="85" t="s">
        <v>79</v>
      </c>
      <c r="E49" s="76">
        <v>480000.0</v>
      </c>
      <c r="F49" s="77"/>
      <c r="G49" s="78"/>
      <c r="H49" s="79" t="s">
        <v>45</v>
      </c>
      <c r="I49" s="80" t="s">
        <v>87</v>
      </c>
      <c r="J49" s="81">
        <v>4026473.0</v>
      </c>
      <c r="K49" s="79"/>
      <c r="L49" s="82"/>
    </row>
    <row r="50" ht="31.5" customHeight="1">
      <c r="A50" s="67"/>
      <c r="B50" s="67"/>
      <c r="C50" s="68"/>
      <c r="D50" s="68"/>
      <c r="E50" s="69"/>
      <c r="F50" s="102"/>
      <c r="G50" s="89"/>
      <c r="H50" s="89"/>
      <c r="I50" s="89"/>
      <c r="J50" s="103"/>
      <c r="K50" s="89"/>
      <c r="L50" s="82"/>
    </row>
    <row r="51" ht="31.5" customHeight="1">
      <c r="A51" s="67"/>
      <c r="B51" s="67"/>
      <c r="C51" s="68"/>
      <c r="D51" s="68"/>
      <c r="E51" s="69"/>
      <c r="F51" s="102"/>
      <c r="G51" s="89"/>
      <c r="H51" s="89"/>
      <c r="I51" s="89"/>
      <c r="J51" s="103"/>
      <c r="K51" s="89"/>
      <c r="L51" s="82"/>
    </row>
    <row r="52" ht="31.5" customHeight="1">
      <c r="A52" s="22" t="s">
        <v>7</v>
      </c>
      <c r="B52" s="23" t="s">
        <v>8</v>
      </c>
      <c r="C52" s="23" t="s">
        <v>9</v>
      </c>
      <c r="D52" s="23" t="s">
        <v>10</v>
      </c>
      <c r="E52" s="23" t="s">
        <v>11</v>
      </c>
      <c r="F52" s="23" t="s">
        <v>12</v>
      </c>
      <c r="G52" s="23" t="s">
        <v>13</v>
      </c>
      <c r="H52" s="24" t="s">
        <v>14</v>
      </c>
      <c r="I52" s="24" t="s">
        <v>15</v>
      </c>
      <c r="J52" s="24" t="s">
        <v>16</v>
      </c>
      <c r="K52" s="24" t="s">
        <v>14</v>
      </c>
      <c r="L52" s="24" t="s">
        <v>57</v>
      </c>
    </row>
    <row r="53" ht="15.75" customHeight="1">
      <c r="A53" s="73" t="s">
        <v>88</v>
      </c>
      <c r="B53" s="83" t="s">
        <v>89</v>
      </c>
      <c r="C53" s="85">
        <v>32.0</v>
      </c>
      <c r="D53" s="85" t="s">
        <v>90</v>
      </c>
      <c r="E53" s="86">
        <v>1000000.0</v>
      </c>
      <c r="F53" s="104" t="s">
        <v>91</v>
      </c>
      <c r="G53" s="78"/>
      <c r="H53" s="79" t="s">
        <v>23</v>
      </c>
      <c r="I53" s="89"/>
      <c r="J53" s="92">
        <v>1.5224893282E8</v>
      </c>
      <c r="K53" s="105" t="s">
        <v>45</v>
      </c>
      <c r="L53" s="79"/>
    </row>
    <row r="54" ht="15.75" customHeight="1">
      <c r="A54" s="73" t="s">
        <v>88</v>
      </c>
      <c r="B54" s="83" t="s">
        <v>92</v>
      </c>
      <c r="C54" s="85">
        <v>122.0</v>
      </c>
      <c r="D54" s="85" t="s">
        <v>93</v>
      </c>
      <c r="E54" s="86">
        <f>5000000+5000000</f>
        <v>10000000</v>
      </c>
      <c r="F54" s="77"/>
      <c r="G54" s="78"/>
      <c r="H54" s="79" t="s">
        <v>23</v>
      </c>
      <c r="I54" s="89"/>
      <c r="J54" s="92">
        <v>7.0236000805E8</v>
      </c>
      <c r="K54" s="105" t="s">
        <v>45</v>
      </c>
      <c r="L54" s="79"/>
    </row>
    <row r="55" ht="15.75" customHeight="1">
      <c r="A55" s="73" t="s">
        <v>88</v>
      </c>
      <c r="B55" s="83" t="s">
        <v>92</v>
      </c>
      <c r="C55" s="85">
        <v>61.0</v>
      </c>
      <c r="D55" s="85" t="s">
        <v>93</v>
      </c>
      <c r="E55" s="86">
        <v>5100000.0</v>
      </c>
      <c r="F55" s="77"/>
      <c r="G55" s="78"/>
      <c r="H55" s="79" t="s">
        <v>23</v>
      </c>
      <c r="I55" s="89"/>
      <c r="J55" s="71"/>
      <c r="K55" s="105" t="s">
        <v>45</v>
      </c>
      <c r="L55" s="79"/>
    </row>
    <row r="56" ht="15.75" customHeight="1">
      <c r="A56" s="73" t="s">
        <v>88</v>
      </c>
      <c r="B56" s="83" t="s">
        <v>94</v>
      </c>
      <c r="C56" s="85">
        <v>91.0</v>
      </c>
      <c r="D56" s="85" t="s">
        <v>95</v>
      </c>
      <c r="E56" s="86">
        <v>1.365009373E7</v>
      </c>
      <c r="F56" s="77"/>
      <c r="G56" s="78"/>
      <c r="H56" s="79" t="s">
        <v>23</v>
      </c>
      <c r="I56" s="89"/>
      <c r="J56" s="92">
        <v>3.2141234825E8</v>
      </c>
      <c r="K56" s="105" t="s">
        <v>45</v>
      </c>
      <c r="L56" s="79"/>
    </row>
    <row r="57" ht="15.75" customHeight="1">
      <c r="A57" s="73" t="s">
        <v>88</v>
      </c>
      <c r="B57" s="83" t="s">
        <v>94</v>
      </c>
      <c r="C57" s="85">
        <v>92.0</v>
      </c>
      <c r="D57" s="85" t="s">
        <v>96</v>
      </c>
      <c r="E57" s="86">
        <v>1557200.0</v>
      </c>
      <c r="F57" s="77"/>
      <c r="G57" s="78"/>
      <c r="H57" s="79" t="s">
        <v>23</v>
      </c>
      <c r="I57" s="89"/>
      <c r="J57" s="92">
        <v>9.339989107E7</v>
      </c>
      <c r="K57" s="105" t="s">
        <v>45</v>
      </c>
      <c r="L57" s="79"/>
    </row>
    <row r="58" ht="15.75" customHeight="1">
      <c r="A58" s="73" t="s">
        <v>88</v>
      </c>
      <c r="B58" s="83" t="s">
        <v>94</v>
      </c>
      <c r="C58" s="85">
        <v>92.0</v>
      </c>
      <c r="D58" s="85" t="s">
        <v>97</v>
      </c>
      <c r="E58" s="86">
        <v>1000.0</v>
      </c>
      <c r="F58" s="77"/>
      <c r="G58" s="78"/>
      <c r="H58" s="79" t="s">
        <v>23</v>
      </c>
      <c r="I58" s="89"/>
      <c r="J58" s="92">
        <v>9345424.89</v>
      </c>
      <c r="K58" s="105" t="s">
        <v>45</v>
      </c>
      <c r="L58" s="79"/>
    </row>
    <row r="59" ht="15.75" customHeight="1">
      <c r="A59" s="73" t="s">
        <v>88</v>
      </c>
      <c r="B59" s="83" t="s">
        <v>62</v>
      </c>
      <c r="C59" s="84">
        <v>121.0</v>
      </c>
      <c r="D59" s="85" t="s">
        <v>66</v>
      </c>
      <c r="E59" s="86">
        <v>2.0E7</v>
      </c>
      <c r="F59" s="87"/>
      <c r="G59" s="88"/>
      <c r="H59" s="79" t="s">
        <v>23</v>
      </c>
      <c r="I59" s="89"/>
      <c r="J59" s="92" t="s">
        <v>98</v>
      </c>
      <c r="K59" s="105" t="s">
        <v>45</v>
      </c>
      <c r="L59" s="79"/>
    </row>
    <row r="60" ht="15.75" customHeight="1">
      <c r="A60" s="73" t="s">
        <v>88</v>
      </c>
      <c r="B60" s="83" t="s">
        <v>62</v>
      </c>
      <c r="C60" s="85">
        <v>122.0</v>
      </c>
      <c r="D60" s="85" t="s">
        <v>99</v>
      </c>
      <c r="E60" s="86">
        <v>101050.0</v>
      </c>
      <c r="F60" s="77"/>
      <c r="G60" s="78"/>
      <c r="H60" s="79" t="s">
        <v>23</v>
      </c>
      <c r="I60" s="89"/>
      <c r="J60" s="92">
        <v>2500000.0</v>
      </c>
      <c r="K60" s="105" t="s">
        <v>45</v>
      </c>
      <c r="L60" s="79"/>
    </row>
    <row r="61" ht="15.75" customHeight="1">
      <c r="A61" s="73" t="s">
        <v>88</v>
      </c>
      <c r="B61" s="83" t="s">
        <v>62</v>
      </c>
      <c r="C61" s="84">
        <v>122.0</v>
      </c>
      <c r="D61" s="85" t="s">
        <v>100</v>
      </c>
      <c r="E61" s="86">
        <f>50000+60000</f>
        <v>110000</v>
      </c>
      <c r="F61" s="87"/>
      <c r="G61" s="88"/>
      <c r="H61" s="79" t="s">
        <v>23</v>
      </c>
      <c r="I61" s="89"/>
      <c r="J61" s="92">
        <v>3697682.0</v>
      </c>
      <c r="K61" s="79"/>
      <c r="L61" s="79"/>
    </row>
    <row r="62" ht="15.75" customHeight="1">
      <c r="A62" s="73" t="s">
        <v>88</v>
      </c>
      <c r="B62" s="83" t="s">
        <v>62</v>
      </c>
      <c r="C62" s="84">
        <v>129.0</v>
      </c>
      <c r="D62" s="85" t="s">
        <v>66</v>
      </c>
      <c r="E62" s="86">
        <f>115500+3002929+2338187.5+6468075+1020000+4000000+5000000+1000000+4000000+5250</f>
        <v>26949941.5</v>
      </c>
      <c r="F62" s="87"/>
      <c r="G62" s="88"/>
      <c r="H62" s="79" t="s">
        <v>23</v>
      </c>
      <c r="I62" s="89"/>
      <c r="J62" s="97"/>
      <c r="K62" s="105" t="s">
        <v>45</v>
      </c>
      <c r="L62" s="79"/>
    </row>
    <row r="63" ht="15.75" customHeight="1">
      <c r="A63" s="73" t="s">
        <v>88</v>
      </c>
      <c r="B63" s="83" t="s">
        <v>101</v>
      </c>
      <c r="C63" s="84">
        <v>181.0</v>
      </c>
      <c r="D63" s="85" t="s">
        <v>70</v>
      </c>
      <c r="E63" s="86">
        <v>36000.0</v>
      </c>
      <c r="F63" s="87"/>
      <c r="G63" s="88"/>
      <c r="H63" s="79" t="s">
        <v>23</v>
      </c>
      <c r="I63" s="89"/>
      <c r="J63" s="92">
        <f>56229691.52+1000+305000</f>
        <v>56535691.52</v>
      </c>
      <c r="K63" s="105" t="s">
        <v>45</v>
      </c>
      <c r="L63" s="79"/>
    </row>
    <row r="64" ht="15.75" customHeight="1">
      <c r="A64" s="73" t="s">
        <v>88</v>
      </c>
      <c r="B64" s="83" t="s">
        <v>101</v>
      </c>
      <c r="C64" s="84">
        <v>182.0</v>
      </c>
      <c r="D64" s="85" t="s">
        <v>102</v>
      </c>
      <c r="E64" s="86">
        <v>1000.0</v>
      </c>
      <c r="F64" s="87"/>
      <c r="G64" s="88"/>
      <c r="H64" s="79" t="s">
        <v>23</v>
      </c>
      <c r="I64" s="89"/>
      <c r="J64" s="92">
        <v>1.776E7</v>
      </c>
      <c r="K64" s="105" t="s">
        <v>45</v>
      </c>
      <c r="L64" s="79"/>
    </row>
    <row r="65" ht="15.75" customHeight="1">
      <c r="A65" s="73" t="s">
        <v>88</v>
      </c>
      <c r="B65" s="83" t="s">
        <v>103</v>
      </c>
      <c r="C65" s="84">
        <v>182.0</v>
      </c>
      <c r="D65" s="85" t="s">
        <v>104</v>
      </c>
      <c r="E65" s="86">
        <f>500000+514636+1484364+200000</f>
        <v>2699000</v>
      </c>
      <c r="F65" s="87"/>
      <c r="G65" s="88"/>
      <c r="H65" s="79" t="s">
        <v>23</v>
      </c>
      <c r="I65" s="89"/>
      <c r="J65" s="92">
        <v>3.584494824E7</v>
      </c>
      <c r="K65" s="105" t="s">
        <v>45</v>
      </c>
      <c r="L65" s="79"/>
    </row>
    <row r="66" ht="15.75" customHeight="1">
      <c r="A66" s="73" t="s">
        <v>88</v>
      </c>
      <c r="B66" s="83" t="s">
        <v>101</v>
      </c>
      <c r="C66" s="84">
        <v>183.0</v>
      </c>
      <c r="D66" s="85" t="s">
        <v>105</v>
      </c>
      <c r="E66" s="86">
        <v>3300000.0</v>
      </c>
      <c r="F66" s="87"/>
      <c r="G66" s="88"/>
      <c r="H66" s="79" t="s">
        <v>23</v>
      </c>
      <c r="I66" s="89"/>
      <c r="J66" s="92">
        <v>2.4501E7</v>
      </c>
      <c r="K66" s="105" t="s">
        <v>45</v>
      </c>
      <c r="L66" s="79"/>
    </row>
    <row r="67" ht="15.75" customHeight="1">
      <c r="A67" s="73" t="s">
        <v>88</v>
      </c>
      <c r="B67" s="83" t="s">
        <v>101</v>
      </c>
      <c r="C67" s="84">
        <v>183.0</v>
      </c>
      <c r="D67" s="85" t="s">
        <v>106</v>
      </c>
      <c r="E67" s="86">
        <v>800.0</v>
      </c>
      <c r="F67" s="87"/>
      <c r="G67" s="88"/>
      <c r="H67" s="79" t="s">
        <v>23</v>
      </c>
      <c r="I67" s="89"/>
      <c r="J67" s="92">
        <v>1.0000000001E8</v>
      </c>
      <c r="K67" s="105" t="s">
        <v>45</v>
      </c>
      <c r="L67" s="79"/>
    </row>
    <row r="68" ht="15.75" customHeight="1">
      <c r="A68" s="73" t="s">
        <v>88</v>
      </c>
      <c r="B68" s="83" t="s">
        <v>101</v>
      </c>
      <c r="C68" s="84">
        <v>183.0</v>
      </c>
      <c r="D68" s="85" t="s">
        <v>68</v>
      </c>
      <c r="E68" s="86">
        <f>250000+400000+600000+3700000</f>
        <v>4950000</v>
      </c>
      <c r="F68" s="87"/>
      <c r="G68" s="88"/>
      <c r="H68" s="79" t="s">
        <v>23</v>
      </c>
      <c r="I68" s="89"/>
      <c r="J68" s="92">
        <v>3.814668401E7</v>
      </c>
      <c r="K68" s="105" t="s">
        <v>45</v>
      </c>
      <c r="L68" s="79"/>
    </row>
    <row r="69" ht="15.75" customHeight="1">
      <c r="A69" s="73" t="s">
        <v>88</v>
      </c>
      <c r="B69" s="83" t="s">
        <v>101</v>
      </c>
      <c r="C69" s="84">
        <v>183.0</v>
      </c>
      <c r="D69" s="85" t="s">
        <v>107</v>
      </c>
      <c r="E69" s="86">
        <f>1771713.29</f>
        <v>1771713.29</v>
      </c>
      <c r="F69" s="87"/>
      <c r="G69" s="88"/>
      <c r="H69" s="79" t="s">
        <v>23</v>
      </c>
      <c r="I69" s="89"/>
      <c r="J69" s="92">
        <v>2986216.75</v>
      </c>
      <c r="K69" s="105" t="s">
        <v>45</v>
      </c>
      <c r="L69" s="79"/>
    </row>
    <row r="70" ht="15.75" customHeight="1">
      <c r="A70" s="73" t="s">
        <v>88</v>
      </c>
      <c r="B70" s="83" t="s">
        <v>101</v>
      </c>
      <c r="C70" s="84">
        <v>183.0</v>
      </c>
      <c r="D70" s="85" t="s">
        <v>70</v>
      </c>
      <c r="E70" s="86">
        <f>50000+2800000</f>
        <v>2850000</v>
      </c>
      <c r="F70" s="87"/>
      <c r="G70" s="88"/>
      <c r="H70" s="79" t="s">
        <v>23</v>
      </c>
      <c r="I70" s="89"/>
      <c r="J70" s="71"/>
      <c r="K70" s="105" t="s">
        <v>45</v>
      </c>
      <c r="L70" s="79"/>
    </row>
    <row r="71" ht="15.75" customHeight="1">
      <c r="A71" s="73" t="s">
        <v>88</v>
      </c>
      <c r="B71" s="83" t="s">
        <v>101</v>
      </c>
      <c r="C71" s="84">
        <v>183.0</v>
      </c>
      <c r="D71" s="85" t="s">
        <v>108</v>
      </c>
      <c r="E71" s="86">
        <f>3300000+1000000</f>
        <v>4300000</v>
      </c>
      <c r="F71" s="87"/>
      <c r="G71" s="88"/>
      <c r="H71" s="79" t="s">
        <v>23</v>
      </c>
      <c r="I71" s="89"/>
      <c r="J71" s="92">
        <v>3.307303592E7</v>
      </c>
      <c r="K71" s="105" t="s">
        <v>45</v>
      </c>
      <c r="L71" s="79"/>
    </row>
    <row r="72" ht="15.75" customHeight="1">
      <c r="A72" s="73" t="s">
        <v>88</v>
      </c>
      <c r="B72" s="83" t="s">
        <v>101</v>
      </c>
      <c r="C72" s="84">
        <v>243.0</v>
      </c>
      <c r="D72" s="85" t="s">
        <v>106</v>
      </c>
      <c r="E72" s="86">
        <v>2251384.93</v>
      </c>
      <c r="F72" s="87"/>
      <c r="G72" s="88"/>
      <c r="H72" s="79" t="s">
        <v>23</v>
      </c>
      <c r="I72" s="89"/>
      <c r="J72" s="97"/>
      <c r="K72" s="105" t="s">
        <v>45</v>
      </c>
      <c r="L72" s="79"/>
    </row>
    <row r="73" ht="15.75" customHeight="1">
      <c r="A73" s="73" t="s">
        <v>88</v>
      </c>
      <c r="B73" s="83" t="s">
        <v>101</v>
      </c>
      <c r="C73" s="84">
        <v>421.0</v>
      </c>
      <c r="D73" s="85" t="s">
        <v>106</v>
      </c>
      <c r="E73" s="86">
        <v>1000000.0</v>
      </c>
      <c r="F73" s="87"/>
      <c r="G73" s="88"/>
      <c r="H73" s="79" t="s">
        <v>23</v>
      </c>
      <c r="I73" s="89"/>
      <c r="J73" s="97"/>
      <c r="K73" s="105" t="s">
        <v>45</v>
      </c>
      <c r="L73" s="79"/>
    </row>
    <row r="74" ht="15.75" customHeight="1">
      <c r="A74" s="73" t="s">
        <v>88</v>
      </c>
      <c r="B74" s="83" t="s">
        <v>101</v>
      </c>
      <c r="C74" s="84">
        <v>542.0</v>
      </c>
      <c r="D74" s="85" t="s">
        <v>68</v>
      </c>
      <c r="E74" s="86">
        <v>2779.13</v>
      </c>
      <c r="F74" s="87"/>
      <c r="G74" s="88"/>
      <c r="H74" s="79" t="s">
        <v>23</v>
      </c>
      <c r="I74" s="89"/>
      <c r="J74" s="97"/>
      <c r="K74" s="105" t="s">
        <v>45</v>
      </c>
      <c r="L74" s="79"/>
    </row>
    <row r="75">
      <c r="A75" s="73" t="s">
        <v>88</v>
      </c>
      <c r="B75" s="83" t="s">
        <v>109</v>
      </c>
      <c r="C75" s="84">
        <v>122.0</v>
      </c>
      <c r="D75" s="85" t="s">
        <v>110</v>
      </c>
      <c r="E75" s="86">
        <v>1000.0</v>
      </c>
      <c r="F75" s="87"/>
      <c r="G75" s="88"/>
      <c r="H75" s="79" t="s">
        <v>23</v>
      </c>
      <c r="I75" s="89"/>
      <c r="J75" s="92">
        <v>3.009E7</v>
      </c>
      <c r="K75" s="105" t="s">
        <v>45</v>
      </c>
      <c r="L75" s="79"/>
    </row>
    <row r="76">
      <c r="A76" s="73" t="s">
        <v>88</v>
      </c>
      <c r="B76" s="83" t="s">
        <v>109</v>
      </c>
      <c r="C76" s="84">
        <v>244.0</v>
      </c>
      <c r="D76" s="85" t="s">
        <v>110</v>
      </c>
      <c r="E76" s="86">
        <v>5000000.0</v>
      </c>
      <c r="F76" s="87"/>
      <c r="G76" s="88"/>
      <c r="H76" s="79" t="s">
        <v>23</v>
      </c>
      <c r="I76" s="89"/>
      <c r="J76" s="97"/>
      <c r="K76" s="105" t="s">
        <v>45</v>
      </c>
      <c r="L76" s="79"/>
    </row>
    <row r="77">
      <c r="A77" s="73" t="s">
        <v>88</v>
      </c>
      <c r="B77" s="83" t="s">
        <v>111</v>
      </c>
      <c r="C77" s="84">
        <v>122.0</v>
      </c>
      <c r="D77" s="85" t="s">
        <v>65</v>
      </c>
      <c r="E77" s="86">
        <v>100000.0</v>
      </c>
      <c r="F77" s="87"/>
      <c r="G77" s="88"/>
      <c r="H77" s="79" t="s">
        <v>23</v>
      </c>
      <c r="I77" s="89"/>
      <c r="J77" s="92">
        <v>2.07601925041E9</v>
      </c>
      <c r="K77" s="105" t="s">
        <v>45</v>
      </c>
      <c r="L77" s="79"/>
    </row>
    <row r="78" ht="15.75" customHeight="1">
      <c r="A78" s="73" t="s">
        <v>88</v>
      </c>
      <c r="B78" s="83" t="s">
        <v>111</v>
      </c>
      <c r="C78" s="84">
        <v>272.0</v>
      </c>
      <c r="D78" s="85" t="s">
        <v>65</v>
      </c>
      <c r="E78" s="86">
        <v>4000000.0</v>
      </c>
      <c r="F78" s="77"/>
      <c r="G78" s="78"/>
      <c r="H78" s="79" t="s">
        <v>23</v>
      </c>
      <c r="I78" s="89"/>
      <c r="J78" s="71"/>
      <c r="K78" s="105" t="s">
        <v>45</v>
      </c>
      <c r="L78" s="79"/>
    </row>
    <row r="79" ht="15.75" customHeight="1">
      <c r="A79" s="73" t="s">
        <v>88</v>
      </c>
      <c r="B79" s="73" t="s">
        <v>112</v>
      </c>
      <c r="C79" s="84">
        <v>302.0</v>
      </c>
      <c r="D79" s="85" t="s">
        <v>113</v>
      </c>
      <c r="E79" s="86">
        <f>44510000+12997000</f>
        <v>57507000</v>
      </c>
      <c r="F79" s="87"/>
      <c r="G79" s="88"/>
      <c r="H79" s="79" t="s">
        <v>23</v>
      </c>
      <c r="I79" s="89"/>
      <c r="J79" s="92">
        <v>2.0295938353E9</v>
      </c>
      <c r="K79" s="105" t="s">
        <v>45</v>
      </c>
      <c r="L79" s="79"/>
    </row>
    <row r="80" ht="15.75" customHeight="1">
      <c r="A80" s="73" t="s">
        <v>88</v>
      </c>
      <c r="B80" s="83" t="s">
        <v>114</v>
      </c>
      <c r="C80" s="84">
        <v>695.0</v>
      </c>
      <c r="D80" s="85" t="s">
        <v>47</v>
      </c>
      <c r="E80" s="86">
        <f>700000+1+1</f>
        <v>700002</v>
      </c>
      <c r="F80" s="87"/>
      <c r="G80" s="88"/>
      <c r="H80" s="79" t="s">
        <v>23</v>
      </c>
      <c r="I80" s="89"/>
      <c r="J80" s="92">
        <v>1.458827912E7</v>
      </c>
      <c r="K80" s="105" t="s">
        <v>45</v>
      </c>
      <c r="L80" s="79"/>
    </row>
    <row r="81" ht="15.75" customHeight="1">
      <c r="A81" s="73" t="s">
        <v>88</v>
      </c>
      <c r="B81" s="83" t="s">
        <v>115</v>
      </c>
      <c r="C81" s="84">
        <v>361.0</v>
      </c>
      <c r="D81" s="85" t="s">
        <v>116</v>
      </c>
      <c r="E81" s="86">
        <f>14000000+10950000+1900000</f>
        <v>26850000</v>
      </c>
      <c r="F81" s="87"/>
      <c r="G81" s="88"/>
      <c r="H81" s="79" t="s">
        <v>23</v>
      </c>
      <c r="I81" s="89"/>
      <c r="J81" s="92">
        <v>9.9996961873E8</v>
      </c>
      <c r="K81" s="105" t="s">
        <v>45</v>
      </c>
      <c r="L81" s="79"/>
    </row>
    <row r="82" ht="15.75" customHeight="1">
      <c r="A82" s="73" t="s">
        <v>88</v>
      </c>
      <c r="B82" s="83" t="s">
        <v>115</v>
      </c>
      <c r="C82" s="84">
        <v>362.0</v>
      </c>
      <c r="D82" s="85" t="s">
        <v>116</v>
      </c>
      <c r="E82" s="86">
        <f>4000000</f>
        <v>4000000</v>
      </c>
      <c r="F82" s="87"/>
      <c r="G82" s="88"/>
      <c r="H82" s="79" t="s">
        <v>23</v>
      </c>
      <c r="I82" s="89"/>
      <c r="J82" s="71"/>
      <c r="K82" s="105" t="s">
        <v>45</v>
      </c>
      <c r="L82" s="79"/>
    </row>
    <row r="83" ht="15.75" customHeight="1">
      <c r="A83" s="73" t="s">
        <v>88</v>
      </c>
      <c r="B83" s="83" t="s">
        <v>115</v>
      </c>
      <c r="C83" s="84">
        <v>363.0</v>
      </c>
      <c r="D83" s="85" t="s">
        <v>117</v>
      </c>
      <c r="E83" s="86">
        <f>1000+1600000+500+500</f>
        <v>1602000</v>
      </c>
      <c r="F83" s="87"/>
      <c r="G83" s="88"/>
      <c r="H83" s="79" t="s">
        <v>23</v>
      </c>
      <c r="I83" s="89"/>
      <c r="J83" s="92">
        <v>5.254838768E7</v>
      </c>
      <c r="K83" s="105" t="s">
        <v>45</v>
      </c>
      <c r="L83" s="79"/>
    </row>
    <row r="84" ht="15.75" customHeight="1">
      <c r="A84" s="73" t="s">
        <v>88</v>
      </c>
      <c r="B84" s="83" t="s">
        <v>118</v>
      </c>
      <c r="C84" s="84">
        <v>122.0</v>
      </c>
      <c r="D84" s="85" t="s">
        <v>119</v>
      </c>
      <c r="E84" s="86">
        <f>147472.27+150000+1000</f>
        <v>298472.27</v>
      </c>
      <c r="F84" s="87"/>
      <c r="G84" s="88"/>
      <c r="H84" s="79" t="s">
        <v>23</v>
      </c>
      <c r="I84" s="89"/>
      <c r="J84" s="92">
        <v>4.61881E7</v>
      </c>
      <c r="K84" s="105" t="s">
        <v>45</v>
      </c>
      <c r="L84" s="79"/>
    </row>
    <row r="85" ht="15.75" customHeight="1">
      <c r="A85" s="73" t="s">
        <v>88</v>
      </c>
      <c r="B85" s="83" t="s">
        <v>118</v>
      </c>
      <c r="C85" s="84">
        <v>392.0</v>
      </c>
      <c r="D85" s="85" t="s">
        <v>119</v>
      </c>
      <c r="E85" s="86">
        <f>750000+290000</f>
        <v>1040000</v>
      </c>
      <c r="F85" s="87"/>
      <c r="G85" s="88"/>
      <c r="H85" s="79" t="s">
        <v>23</v>
      </c>
      <c r="I85" s="89"/>
      <c r="J85" s="71"/>
      <c r="K85" s="105" t="s">
        <v>45</v>
      </c>
      <c r="L85" s="79"/>
    </row>
    <row r="86" ht="15.75" customHeight="1">
      <c r="A86" s="73" t="s">
        <v>88</v>
      </c>
      <c r="B86" s="83" t="s">
        <v>120</v>
      </c>
      <c r="C86" s="84">
        <v>243.0</v>
      </c>
      <c r="D86" s="85" t="s">
        <v>121</v>
      </c>
      <c r="E86" s="86">
        <v>2251384.93</v>
      </c>
      <c r="F86" s="87"/>
      <c r="G86" s="88"/>
      <c r="H86" s="79" t="s">
        <v>23</v>
      </c>
      <c r="I86" s="89"/>
      <c r="J86" s="92">
        <v>1.803076063E7</v>
      </c>
      <c r="K86" s="105" t="s">
        <v>45</v>
      </c>
      <c r="L86" s="79"/>
    </row>
    <row r="87" ht="15.75" customHeight="1">
      <c r="A87" s="73" t="s">
        <v>88</v>
      </c>
      <c r="B87" s="83" t="s">
        <v>120</v>
      </c>
      <c r="C87" s="84">
        <v>422.0</v>
      </c>
      <c r="D87" s="85" t="s">
        <v>122</v>
      </c>
      <c r="E87" s="86">
        <v>5000.0</v>
      </c>
      <c r="F87" s="87"/>
      <c r="G87" s="88"/>
      <c r="H87" s="79" t="s">
        <v>23</v>
      </c>
      <c r="I87" s="89"/>
      <c r="J87" s="92">
        <v>1200000.0</v>
      </c>
      <c r="K87" s="105" t="s">
        <v>45</v>
      </c>
      <c r="L87" s="79"/>
    </row>
    <row r="88" ht="15.75" customHeight="1">
      <c r="A88" s="73" t="s">
        <v>88</v>
      </c>
      <c r="B88" s="83" t="s">
        <v>120</v>
      </c>
      <c r="C88" s="84">
        <v>422.0</v>
      </c>
      <c r="D88" s="85" t="s">
        <v>123</v>
      </c>
      <c r="E88" s="86">
        <v>589560.0</v>
      </c>
      <c r="F88" s="87"/>
      <c r="G88" s="88"/>
      <c r="H88" s="79" t="s">
        <v>23</v>
      </c>
      <c r="I88" s="89"/>
      <c r="J88" s="92">
        <v>7511899.0</v>
      </c>
      <c r="K88" s="105" t="s">
        <v>45</v>
      </c>
      <c r="L88" s="79"/>
    </row>
    <row r="89" ht="15.75" customHeight="1">
      <c r="A89" s="73" t="s">
        <v>88</v>
      </c>
      <c r="B89" s="73" t="s">
        <v>124</v>
      </c>
      <c r="C89" s="74">
        <v>451.0</v>
      </c>
      <c r="D89" s="85" t="s">
        <v>125</v>
      </c>
      <c r="E89" s="86">
        <f>1000+9361139.29+1000+34913353.3+1000+1000+1000+1000000+1000+1000+1000+3000+295000+3000000</f>
        <v>48580492.59</v>
      </c>
      <c r="F89" s="87"/>
      <c r="G89" s="88"/>
      <c r="H89" s="79" t="s">
        <v>23</v>
      </c>
      <c r="I89" s="89"/>
      <c r="J89" s="92">
        <v>7.1897656E7</v>
      </c>
      <c r="K89" s="105" t="s">
        <v>45</v>
      </c>
      <c r="L89" s="79"/>
    </row>
    <row r="90" ht="15.75" customHeight="1">
      <c r="A90" s="73" t="s">
        <v>88</v>
      </c>
      <c r="B90" s="73" t="s">
        <v>124</v>
      </c>
      <c r="C90" s="74">
        <v>451.0</v>
      </c>
      <c r="D90" s="85" t="s">
        <v>126</v>
      </c>
      <c r="E90" s="76">
        <v>1000.0</v>
      </c>
      <c r="F90" s="87"/>
      <c r="G90" s="88"/>
      <c r="H90" s="79" t="s">
        <v>23</v>
      </c>
      <c r="I90" s="89"/>
      <c r="J90" s="92">
        <v>1000.0</v>
      </c>
      <c r="K90" s="105" t="s">
        <v>45</v>
      </c>
      <c r="L90" s="79"/>
    </row>
    <row r="91" ht="15.75" customHeight="1">
      <c r="A91" s="73" t="s">
        <v>88</v>
      </c>
      <c r="B91" s="73" t="s">
        <v>124</v>
      </c>
      <c r="C91" s="74">
        <v>451.0</v>
      </c>
      <c r="D91" s="85" t="s">
        <v>72</v>
      </c>
      <c r="E91" s="76">
        <f>55205500+26034000</f>
        <v>81239500</v>
      </c>
      <c r="F91" s="77"/>
      <c r="G91" s="78"/>
      <c r="H91" s="79" t="s">
        <v>23</v>
      </c>
      <c r="I91" s="89"/>
      <c r="J91" s="92">
        <v>1.300055E8</v>
      </c>
      <c r="K91" s="105" t="s">
        <v>45</v>
      </c>
      <c r="L91" s="79"/>
    </row>
    <row r="92" ht="15.75" customHeight="1">
      <c r="A92" s="73" t="s">
        <v>88</v>
      </c>
      <c r="B92" s="73" t="s">
        <v>124</v>
      </c>
      <c r="C92" s="84">
        <v>512.0</v>
      </c>
      <c r="D92" s="85" t="s">
        <v>125</v>
      </c>
      <c r="E92" s="86">
        <f>3000+1000</f>
        <v>4000</v>
      </c>
      <c r="F92" s="87"/>
      <c r="G92" s="88"/>
      <c r="H92" s="79" t="s">
        <v>23</v>
      </c>
      <c r="I92" s="89"/>
      <c r="J92" s="97"/>
      <c r="K92" s="105" t="s">
        <v>45</v>
      </c>
      <c r="L92" s="79"/>
    </row>
    <row r="93" ht="15.75" customHeight="1">
      <c r="A93" s="73" t="s">
        <v>88</v>
      </c>
      <c r="B93" s="83" t="s">
        <v>127</v>
      </c>
      <c r="C93" s="84">
        <v>122.0</v>
      </c>
      <c r="D93" s="85" t="s">
        <v>128</v>
      </c>
      <c r="E93" s="86">
        <v>15000.0</v>
      </c>
      <c r="F93" s="87"/>
      <c r="G93" s="88"/>
      <c r="H93" s="79" t="s">
        <v>23</v>
      </c>
      <c r="I93" s="89"/>
      <c r="J93" s="92">
        <v>155000.0</v>
      </c>
      <c r="K93" s="105" t="s">
        <v>45</v>
      </c>
      <c r="L93" s="79"/>
    </row>
    <row r="94" ht="15.75" customHeight="1">
      <c r="A94" s="73" t="s">
        <v>88</v>
      </c>
      <c r="B94" s="83" t="s">
        <v>127</v>
      </c>
      <c r="C94" s="84">
        <v>482.0</v>
      </c>
      <c r="D94" s="85" t="s">
        <v>129</v>
      </c>
      <c r="E94" s="86">
        <v>100000.0</v>
      </c>
      <c r="F94" s="87"/>
      <c r="G94" s="88"/>
      <c r="H94" s="79" t="s">
        <v>23</v>
      </c>
      <c r="I94" s="89"/>
      <c r="J94" s="92">
        <v>1.024034725E7</v>
      </c>
      <c r="K94" s="105" t="s">
        <v>45</v>
      </c>
      <c r="L94" s="79"/>
    </row>
    <row r="95" ht="15.75" customHeight="1">
      <c r="A95" s="73" t="s">
        <v>88</v>
      </c>
      <c r="B95" s="83" t="s">
        <v>127</v>
      </c>
      <c r="C95" s="84">
        <v>482.0</v>
      </c>
      <c r="D95" s="85" t="s">
        <v>125</v>
      </c>
      <c r="E95" s="86">
        <f>7536842.2+5000+1000</f>
        <v>7542842.2</v>
      </c>
      <c r="F95" s="87"/>
      <c r="G95" s="88"/>
      <c r="H95" s="79" t="s">
        <v>23</v>
      </c>
      <c r="I95" s="89"/>
      <c r="J95" s="97"/>
      <c r="K95" s="105" t="s">
        <v>45</v>
      </c>
      <c r="L95" s="79"/>
    </row>
    <row r="96" ht="15.75" customHeight="1">
      <c r="A96" s="73" t="s">
        <v>88</v>
      </c>
      <c r="B96" s="73" t="s">
        <v>130</v>
      </c>
      <c r="C96" s="75">
        <v>511.0</v>
      </c>
      <c r="D96" s="75" t="s">
        <v>131</v>
      </c>
      <c r="E96" s="106">
        <v>100000.0</v>
      </c>
      <c r="F96" s="107" t="s">
        <v>132</v>
      </c>
      <c r="G96" s="108" t="s">
        <v>133</v>
      </c>
      <c r="H96" s="79" t="s">
        <v>23</v>
      </c>
      <c r="I96" s="89"/>
      <c r="J96" s="92">
        <v>4102351.62</v>
      </c>
      <c r="K96" s="105" t="s">
        <v>45</v>
      </c>
      <c r="L96" s="79"/>
    </row>
    <row r="97" ht="15.75" customHeight="1">
      <c r="A97" s="73" t="s">
        <v>88</v>
      </c>
      <c r="B97" s="73" t="s">
        <v>130</v>
      </c>
      <c r="C97" s="75">
        <v>512.0</v>
      </c>
      <c r="D97" s="75" t="s">
        <v>125</v>
      </c>
      <c r="E97" s="76">
        <f>1000+3000</f>
        <v>4000</v>
      </c>
      <c r="F97" s="77"/>
      <c r="G97" s="78"/>
      <c r="H97" s="79" t="s">
        <v>23</v>
      </c>
      <c r="I97" s="89"/>
      <c r="J97" s="97"/>
      <c r="K97" s="105" t="s">
        <v>45</v>
      </c>
      <c r="L97" s="79"/>
    </row>
    <row r="98" ht="15.75" customHeight="1">
      <c r="A98" s="73" t="s">
        <v>88</v>
      </c>
      <c r="B98" s="73" t="s">
        <v>130</v>
      </c>
      <c r="C98" s="75">
        <v>512.0</v>
      </c>
      <c r="D98" s="75" t="s">
        <v>72</v>
      </c>
      <c r="E98" s="86">
        <v>1.2771E7</v>
      </c>
      <c r="F98" s="77"/>
      <c r="G98" s="78"/>
      <c r="H98" s="79" t="s">
        <v>23</v>
      </c>
      <c r="I98" s="89"/>
      <c r="J98" s="97"/>
      <c r="K98" s="105" t="s">
        <v>45</v>
      </c>
      <c r="L98" s="79"/>
    </row>
    <row r="99" ht="15.75" customHeight="1">
      <c r="A99" s="73" t="s">
        <v>88</v>
      </c>
      <c r="B99" s="73" t="s">
        <v>130</v>
      </c>
      <c r="C99" s="75">
        <v>512.0</v>
      </c>
      <c r="D99" s="85" t="s">
        <v>131</v>
      </c>
      <c r="E99" s="86">
        <v>6829000.0</v>
      </c>
      <c r="F99" s="109">
        <f>43344635.15+33472769.38+126000</f>
        <v>76943404.53</v>
      </c>
      <c r="G99" s="78"/>
      <c r="H99" s="79" t="s">
        <v>23</v>
      </c>
      <c r="I99" s="110" t="s">
        <v>134</v>
      </c>
      <c r="J99" s="97"/>
      <c r="K99" s="105" t="s">
        <v>45</v>
      </c>
      <c r="L99" s="111">
        <v>7.6943404E7</v>
      </c>
    </row>
    <row r="100" ht="15.75" customHeight="1">
      <c r="A100" s="112" t="s">
        <v>88</v>
      </c>
      <c r="B100" s="112" t="s">
        <v>130</v>
      </c>
      <c r="C100" s="113">
        <v>512.0</v>
      </c>
      <c r="D100" s="113" t="s">
        <v>135</v>
      </c>
      <c r="E100" s="114">
        <v>325000.0</v>
      </c>
      <c r="F100" s="115"/>
      <c r="G100" s="116"/>
      <c r="H100" s="105"/>
      <c r="I100" s="89"/>
      <c r="J100" s="92"/>
      <c r="K100" s="105" t="s">
        <v>45</v>
      </c>
      <c r="L100" s="79"/>
    </row>
    <row r="101" ht="15.75" customHeight="1">
      <c r="A101" s="73" t="s">
        <v>88</v>
      </c>
      <c r="B101" s="83" t="s">
        <v>74</v>
      </c>
      <c r="C101" s="85">
        <v>122.0</v>
      </c>
      <c r="D101" s="85" t="s">
        <v>25</v>
      </c>
      <c r="E101" s="86">
        <v>1000.0</v>
      </c>
      <c r="F101" s="77"/>
      <c r="G101" s="78"/>
      <c r="H101" s="79" t="s">
        <v>23</v>
      </c>
      <c r="I101" s="89"/>
      <c r="J101" s="92">
        <v>1.669915437E7</v>
      </c>
      <c r="K101" s="79"/>
      <c r="L101" s="79"/>
    </row>
    <row r="102" ht="15.75" customHeight="1">
      <c r="A102" s="73" t="s">
        <v>88</v>
      </c>
      <c r="B102" s="83" t="s">
        <v>74</v>
      </c>
      <c r="C102" s="85">
        <v>542.0</v>
      </c>
      <c r="D102" s="85" t="s">
        <v>76</v>
      </c>
      <c r="E102" s="86">
        <v>1000.0</v>
      </c>
      <c r="F102" s="77"/>
      <c r="G102" s="78"/>
      <c r="H102" s="79" t="s">
        <v>23</v>
      </c>
      <c r="I102" s="89"/>
      <c r="J102" s="92">
        <v>6656714.85</v>
      </c>
      <c r="K102" s="79"/>
      <c r="L102" s="79"/>
    </row>
    <row r="103" ht="15.75" customHeight="1">
      <c r="A103" s="73" t="s">
        <v>88</v>
      </c>
      <c r="B103" s="83" t="s">
        <v>136</v>
      </c>
      <c r="C103" s="85">
        <v>571.0</v>
      </c>
      <c r="D103" s="85" t="s">
        <v>137</v>
      </c>
      <c r="E103" s="86">
        <v>10.0</v>
      </c>
      <c r="F103" s="87"/>
      <c r="G103" s="88"/>
      <c r="H103" s="79" t="s">
        <v>23</v>
      </c>
      <c r="I103" s="89"/>
      <c r="J103" s="92">
        <v>3700000.0</v>
      </c>
      <c r="K103" s="79"/>
      <c r="L103" s="79"/>
    </row>
    <row r="104" ht="15.75" customHeight="1">
      <c r="A104" s="73" t="s">
        <v>88</v>
      </c>
      <c r="B104" s="73" t="s">
        <v>32</v>
      </c>
      <c r="C104" s="84">
        <v>451.0</v>
      </c>
      <c r="D104" s="85" t="s">
        <v>33</v>
      </c>
      <c r="E104" s="86">
        <v>1000000.0</v>
      </c>
      <c r="F104" s="77"/>
      <c r="G104" s="78"/>
      <c r="H104" s="79" t="s">
        <v>23</v>
      </c>
      <c r="I104" s="89"/>
      <c r="J104" s="117">
        <v>1.149042E8</v>
      </c>
      <c r="K104" s="79"/>
      <c r="L104" s="79"/>
    </row>
    <row r="105" ht="15.75" customHeight="1">
      <c r="A105" s="73" t="s">
        <v>88</v>
      </c>
      <c r="B105" s="73" t="s">
        <v>32</v>
      </c>
      <c r="C105" s="84">
        <v>451.0</v>
      </c>
      <c r="D105" s="85" t="s">
        <v>138</v>
      </c>
      <c r="E105" s="86">
        <v>2000000.0</v>
      </c>
      <c r="F105" s="77"/>
      <c r="G105" s="78"/>
      <c r="H105" s="79" t="s">
        <v>23</v>
      </c>
      <c r="I105" s="89"/>
      <c r="J105" s="92">
        <v>2.53549221E7</v>
      </c>
      <c r="K105" s="79"/>
      <c r="L105" s="79"/>
    </row>
    <row r="106" ht="15.75" customHeight="1">
      <c r="A106" s="73" t="s">
        <v>88</v>
      </c>
      <c r="B106" s="73" t="s">
        <v>32</v>
      </c>
      <c r="C106" s="84">
        <v>608.0</v>
      </c>
      <c r="D106" s="75" t="s">
        <v>33</v>
      </c>
      <c r="E106" s="86">
        <f>3100000+1000</f>
        <v>3101000</v>
      </c>
      <c r="F106" s="77"/>
      <c r="G106" s="78"/>
      <c r="H106" s="79" t="s">
        <v>23</v>
      </c>
      <c r="I106" s="89"/>
      <c r="J106" s="97"/>
      <c r="K106" s="79"/>
      <c r="L106" s="79"/>
    </row>
    <row r="107" ht="15.75" customHeight="1">
      <c r="A107" s="73" t="s">
        <v>88</v>
      </c>
      <c r="B107" s="73" t="s">
        <v>139</v>
      </c>
      <c r="C107" s="85">
        <v>127.0</v>
      </c>
      <c r="D107" s="75" t="s">
        <v>125</v>
      </c>
      <c r="E107" s="86">
        <v>2000.0</v>
      </c>
      <c r="F107" s="77"/>
      <c r="G107" s="78"/>
      <c r="H107" s="79" t="s">
        <v>23</v>
      </c>
      <c r="I107" s="89"/>
      <c r="J107" s="97"/>
      <c r="K107" s="105" t="s">
        <v>45</v>
      </c>
      <c r="L107" s="79"/>
    </row>
    <row r="108">
      <c r="A108" s="73" t="s">
        <v>88</v>
      </c>
      <c r="B108" s="83" t="s">
        <v>140</v>
      </c>
      <c r="C108" s="85">
        <v>122.0</v>
      </c>
      <c r="D108" s="85" t="s">
        <v>141</v>
      </c>
      <c r="E108" s="86">
        <v>335.17</v>
      </c>
      <c r="F108" s="77"/>
      <c r="G108" s="78"/>
      <c r="H108" s="79" t="s">
        <v>23</v>
      </c>
      <c r="I108" s="110" t="s">
        <v>142</v>
      </c>
      <c r="J108" s="92">
        <v>3.0037336975E8</v>
      </c>
      <c r="K108" s="105" t="s">
        <v>45</v>
      </c>
      <c r="L108" s="79"/>
    </row>
    <row r="109">
      <c r="A109" s="73" t="s">
        <v>88</v>
      </c>
      <c r="B109" s="83" t="s">
        <v>140</v>
      </c>
      <c r="C109" s="85">
        <v>451.0</v>
      </c>
      <c r="D109" s="85" t="s">
        <v>141</v>
      </c>
      <c r="E109" s="86">
        <f>335.17+33.52</f>
        <v>368.69</v>
      </c>
      <c r="F109" s="77"/>
      <c r="G109" s="78"/>
      <c r="H109" s="79" t="s">
        <v>23</v>
      </c>
      <c r="I109" s="89"/>
      <c r="J109" s="97"/>
      <c r="K109" s="105" t="s">
        <v>45</v>
      </c>
      <c r="L109" s="79"/>
    </row>
    <row r="110" ht="15.75" customHeight="1">
      <c r="A110" s="73" t="s">
        <v>88</v>
      </c>
      <c r="B110" s="83" t="s">
        <v>140</v>
      </c>
      <c r="C110" s="85">
        <v>781.0</v>
      </c>
      <c r="D110" s="85" t="s">
        <v>141</v>
      </c>
      <c r="E110" s="86">
        <v>750308.03</v>
      </c>
      <c r="F110" s="77"/>
      <c r="G110" s="78"/>
      <c r="H110" s="79" t="s">
        <v>23</v>
      </c>
      <c r="I110" s="89"/>
      <c r="J110" s="97"/>
      <c r="K110" s="105" t="s">
        <v>45</v>
      </c>
      <c r="L110" s="79"/>
    </row>
    <row r="111">
      <c r="A111" s="73" t="s">
        <v>88</v>
      </c>
      <c r="B111" s="83" t="s">
        <v>140</v>
      </c>
      <c r="C111" s="85">
        <v>782.0</v>
      </c>
      <c r="D111" s="85" t="s">
        <v>141</v>
      </c>
      <c r="E111" s="86">
        <f>33.52+147451632.3</f>
        <v>147451665.8</v>
      </c>
      <c r="F111" s="118"/>
      <c r="G111" s="78"/>
      <c r="H111" s="79" t="s">
        <v>23</v>
      </c>
      <c r="I111" s="89"/>
      <c r="J111" s="97"/>
      <c r="K111" s="105" t="s">
        <v>45</v>
      </c>
      <c r="L111" s="79"/>
    </row>
    <row r="112" ht="15.75" customHeight="1">
      <c r="A112" s="73" t="s">
        <v>88</v>
      </c>
      <c r="B112" s="83" t="s">
        <v>143</v>
      </c>
      <c r="C112" s="85">
        <v>812.0</v>
      </c>
      <c r="D112" s="85" t="s">
        <v>144</v>
      </c>
      <c r="E112" s="86">
        <v>4466051.73</v>
      </c>
      <c r="F112" s="87"/>
      <c r="G112" s="88"/>
      <c r="H112" s="79" t="s">
        <v>23</v>
      </c>
      <c r="I112" s="89"/>
      <c r="J112" s="92">
        <v>2.057298995E7</v>
      </c>
      <c r="K112" s="105" t="s">
        <v>45</v>
      </c>
      <c r="L112" s="79"/>
    </row>
    <row r="115" ht="22.5" customHeight="1">
      <c r="A115" s="22" t="s">
        <v>7</v>
      </c>
      <c r="B115" s="23" t="s">
        <v>8</v>
      </c>
      <c r="C115" s="23" t="s">
        <v>9</v>
      </c>
      <c r="D115" s="23" t="s">
        <v>10</v>
      </c>
      <c r="E115" s="23" t="s">
        <v>11</v>
      </c>
      <c r="F115" s="23" t="s">
        <v>12</v>
      </c>
      <c r="G115" s="23" t="s">
        <v>13</v>
      </c>
      <c r="H115" s="24" t="s">
        <v>14</v>
      </c>
      <c r="I115" s="24" t="s">
        <v>15</v>
      </c>
      <c r="J115" s="24" t="s">
        <v>16</v>
      </c>
      <c r="K115" s="24" t="s">
        <v>14</v>
      </c>
      <c r="L115" s="24" t="s">
        <v>57</v>
      </c>
    </row>
    <row r="116" ht="15.75" customHeight="1">
      <c r="A116" s="73" t="s">
        <v>145</v>
      </c>
      <c r="B116" s="73" t="s">
        <v>146</v>
      </c>
      <c r="C116" s="74">
        <v>244.0</v>
      </c>
      <c r="D116" s="75" t="s">
        <v>110</v>
      </c>
      <c r="E116" s="99">
        <v>6948000.0</v>
      </c>
      <c r="F116" s="119" t="s">
        <v>147</v>
      </c>
      <c r="G116" s="119" t="s">
        <v>148</v>
      </c>
      <c r="H116" s="79" t="s">
        <v>45</v>
      </c>
      <c r="I116" s="120" t="s">
        <v>149</v>
      </c>
      <c r="J116" s="81">
        <v>3.009E7</v>
      </c>
      <c r="K116" s="79"/>
      <c r="L116" s="121"/>
    </row>
    <row r="117" ht="15.75" customHeight="1">
      <c r="A117" s="73" t="s">
        <v>145</v>
      </c>
      <c r="B117" s="73" t="s">
        <v>146</v>
      </c>
      <c r="C117" s="74">
        <v>244.0</v>
      </c>
      <c r="D117" s="85" t="s">
        <v>150</v>
      </c>
      <c r="E117" s="76">
        <f>529000+50000</f>
        <v>579000</v>
      </c>
      <c r="F117" s="122" t="s">
        <v>151</v>
      </c>
      <c r="G117" s="78"/>
      <c r="H117" s="79" t="s">
        <v>23</v>
      </c>
      <c r="I117" s="71"/>
      <c r="J117" s="97">
        <v>1.335E7</v>
      </c>
      <c r="K117" s="79"/>
      <c r="L117" s="121"/>
    </row>
    <row r="118" ht="15.75" customHeight="1">
      <c r="A118" s="73" t="s">
        <v>145</v>
      </c>
      <c r="B118" s="73" t="s">
        <v>152</v>
      </c>
      <c r="C118" s="74">
        <v>422.0</v>
      </c>
      <c r="D118" s="75" t="s">
        <v>116</v>
      </c>
      <c r="E118" s="76">
        <v>65200.0</v>
      </c>
      <c r="F118" s="77"/>
      <c r="G118" s="78"/>
      <c r="H118" s="79" t="s">
        <v>45</v>
      </c>
      <c r="I118" s="120" t="s">
        <v>149</v>
      </c>
      <c r="J118" s="92">
        <v>9.9996961873E8</v>
      </c>
      <c r="K118" s="79"/>
      <c r="L118" s="121"/>
    </row>
    <row r="119" ht="15.75" customHeight="1">
      <c r="A119" s="73" t="s">
        <v>145</v>
      </c>
      <c r="B119" s="73" t="s">
        <v>152</v>
      </c>
      <c r="C119" s="74">
        <v>422.0</v>
      </c>
      <c r="D119" s="75" t="s">
        <v>110</v>
      </c>
      <c r="E119" s="86">
        <v>580000.0</v>
      </c>
      <c r="F119" s="122" t="s">
        <v>153</v>
      </c>
      <c r="G119" s="96"/>
      <c r="H119" s="79" t="s">
        <v>45</v>
      </c>
      <c r="I119" s="120" t="s">
        <v>149</v>
      </c>
      <c r="J119" s="92"/>
      <c r="K119" s="79"/>
      <c r="L119" s="121"/>
    </row>
    <row r="120" ht="15.75" customHeight="1">
      <c r="A120" s="73" t="s">
        <v>145</v>
      </c>
      <c r="B120" s="73" t="s">
        <v>152</v>
      </c>
      <c r="C120" s="74">
        <v>422.0</v>
      </c>
      <c r="D120" s="85" t="s">
        <v>154</v>
      </c>
      <c r="E120" s="76">
        <v>4839000.0</v>
      </c>
      <c r="F120" s="77"/>
      <c r="G120" s="78"/>
      <c r="H120" s="79" t="s">
        <v>45</v>
      </c>
      <c r="I120" s="120" t="s">
        <v>149</v>
      </c>
      <c r="J120" s="92">
        <v>4900000.0</v>
      </c>
      <c r="K120" s="79"/>
      <c r="L120" s="121"/>
    </row>
    <row r="121" ht="15.75" customHeight="1">
      <c r="A121" s="73" t="s">
        <v>145</v>
      </c>
      <c r="B121" s="73" t="s">
        <v>152</v>
      </c>
      <c r="C121" s="74">
        <v>422.0</v>
      </c>
      <c r="D121" s="85" t="s">
        <v>155</v>
      </c>
      <c r="E121" s="76">
        <f>100000+200000+20000+700000</f>
        <v>1020000</v>
      </c>
      <c r="F121" s="77"/>
      <c r="G121" s="78"/>
      <c r="H121" s="79" t="s">
        <v>45</v>
      </c>
      <c r="I121" s="120" t="s">
        <v>149</v>
      </c>
      <c r="J121" s="92">
        <v>1200000.0</v>
      </c>
      <c r="K121" s="79"/>
      <c r="L121" s="121"/>
    </row>
    <row r="122" ht="15.75" customHeight="1">
      <c r="A122" s="73" t="s">
        <v>145</v>
      </c>
      <c r="B122" s="73" t="s">
        <v>152</v>
      </c>
      <c r="C122" s="74">
        <v>422.0</v>
      </c>
      <c r="D122" s="75" t="s">
        <v>123</v>
      </c>
      <c r="E122" s="99">
        <f>2415560-1937560</f>
        <v>478000</v>
      </c>
      <c r="F122" s="123" t="s">
        <v>156</v>
      </c>
      <c r="G122" s="124" t="s">
        <v>157</v>
      </c>
      <c r="H122" s="79" t="s">
        <v>45</v>
      </c>
      <c r="I122" s="120" t="s">
        <v>149</v>
      </c>
      <c r="J122" s="92" t="s">
        <v>158</v>
      </c>
      <c r="K122" s="79"/>
      <c r="L122" s="121"/>
    </row>
    <row r="123" ht="15.75" customHeight="1">
      <c r="A123" s="73" t="s">
        <v>145</v>
      </c>
      <c r="B123" s="73" t="s">
        <v>152</v>
      </c>
      <c r="C123" s="74">
        <v>423.0</v>
      </c>
      <c r="D123" s="75" t="s">
        <v>100</v>
      </c>
      <c r="E123" s="99">
        <v>4000.0</v>
      </c>
      <c r="F123" s="125" t="s">
        <v>159</v>
      </c>
      <c r="G123" s="126" t="s">
        <v>160</v>
      </c>
      <c r="H123" s="79" t="s">
        <v>23</v>
      </c>
      <c r="I123" s="127"/>
      <c r="J123" s="81">
        <v>3697682.0</v>
      </c>
      <c r="K123" s="79"/>
      <c r="L123" s="121"/>
    </row>
    <row r="124" ht="15.75" customHeight="1">
      <c r="A124" s="73" t="s">
        <v>145</v>
      </c>
      <c r="B124" s="73" t="s">
        <v>139</v>
      </c>
      <c r="C124" s="74">
        <v>127.0</v>
      </c>
      <c r="D124" s="75" t="s">
        <v>125</v>
      </c>
      <c r="E124" s="76">
        <v>1151000.0</v>
      </c>
      <c r="F124" s="77"/>
      <c r="G124" s="78"/>
      <c r="H124" s="79" t="s">
        <v>45</v>
      </c>
      <c r="I124" s="80" t="s">
        <v>149</v>
      </c>
      <c r="J124" s="92">
        <v>7.1897656E7</v>
      </c>
      <c r="K124" s="79"/>
      <c r="L124" s="121"/>
    </row>
    <row r="125" ht="15.75" customHeight="1">
      <c r="A125" s="73" t="s">
        <v>145</v>
      </c>
      <c r="B125" s="73" t="s">
        <v>139</v>
      </c>
      <c r="C125" s="74">
        <v>127.0</v>
      </c>
      <c r="D125" s="75" t="s">
        <v>161</v>
      </c>
      <c r="E125" s="99">
        <v>1.218713552E7</v>
      </c>
      <c r="F125" s="107" t="s">
        <v>162</v>
      </c>
      <c r="G125" s="128" t="s">
        <v>163</v>
      </c>
      <c r="H125" s="79" t="s">
        <v>45</v>
      </c>
      <c r="I125" s="80" t="s">
        <v>149</v>
      </c>
      <c r="J125" s="92">
        <v>1.224113552E7</v>
      </c>
      <c r="K125" s="79"/>
      <c r="L125" s="121"/>
    </row>
    <row r="126" ht="15.75" customHeight="1">
      <c r="A126" s="67"/>
      <c r="B126" s="129"/>
      <c r="C126" s="68"/>
      <c r="D126" s="68"/>
      <c r="E126" s="69"/>
      <c r="F126" s="89"/>
      <c r="G126" s="71"/>
      <c r="H126" s="71"/>
      <c r="I126" s="71"/>
      <c r="J126" s="72"/>
      <c r="K126" s="71"/>
      <c r="L126" s="72"/>
    </row>
    <row r="127" ht="15.75" customHeight="1">
      <c r="A127" s="67"/>
      <c r="B127" s="129"/>
      <c r="C127" s="68"/>
      <c r="D127" s="68"/>
      <c r="E127" s="69"/>
      <c r="F127" s="89"/>
      <c r="G127" s="71"/>
      <c r="H127" s="71"/>
      <c r="I127" s="71"/>
      <c r="J127" s="72"/>
      <c r="K127" s="71"/>
      <c r="L127" s="72"/>
    </row>
    <row r="128" ht="15.75" customHeight="1">
      <c r="A128" s="67"/>
      <c r="B128" s="129"/>
      <c r="C128" s="68"/>
      <c r="D128" s="68"/>
      <c r="E128" s="69"/>
      <c r="F128" s="89"/>
      <c r="G128" s="71"/>
      <c r="H128" s="71"/>
      <c r="I128" s="71"/>
      <c r="J128" s="72"/>
      <c r="K128" s="71"/>
      <c r="L128" s="72"/>
    </row>
    <row r="129" ht="15.75" customHeight="1">
      <c r="A129" s="22" t="s">
        <v>7</v>
      </c>
      <c r="B129" s="23" t="s">
        <v>8</v>
      </c>
      <c r="C129" s="23" t="s">
        <v>9</v>
      </c>
      <c r="D129" s="23" t="s">
        <v>10</v>
      </c>
      <c r="E129" s="23" t="s">
        <v>11</v>
      </c>
      <c r="F129" s="23" t="s">
        <v>12</v>
      </c>
      <c r="G129" s="23" t="s">
        <v>13</v>
      </c>
      <c r="H129" s="24" t="s">
        <v>14</v>
      </c>
      <c r="I129" s="24" t="s">
        <v>15</v>
      </c>
      <c r="J129" s="24" t="s">
        <v>16</v>
      </c>
      <c r="K129" s="24" t="s">
        <v>14</v>
      </c>
      <c r="L129" s="24" t="s">
        <v>57</v>
      </c>
    </row>
    <row r="130" ht="15.75" customHeight="1">
      <c r="A130" s="73" t="s">
        <v>164</v>
      </c>
      <c r="B130" s="73" t="s">
        <v>165</v>
      </c>
      <c r="C130" s="74">
        <v>124.0</v>
      </c>
      <c r="D130" s="75" t="s">
        <v>166</v>
      </c>
      <c r="E130" s="76">
        <v>660000.0</v>
      </c>
      <c r="F130" s="79" t="s">
        <v>167</v>
      </c>
      <c r="G130" s="88"/>
      <c r="H130" s="79" t="s">
        <v>45</v>
      </c>
      <c r="I130" s="80" t="s">
        <v>168</v>
      </c>
      <c r="J130" s="92">
        <v>4000000.0</v>
      </c>
      <c r="K130" s="79"/>
      <c r="L130" s="121"/>
    </row>
    <row r="131">
      <c r="A131" s="73" t="s">
        <v>164</v>
      </c>
      <c r="B131" s="73" t="s">
        <v>20</v>
      </c>
      <c r="C131" s="74">
        <v>541.0</v>
      </c>
      <c r="D131" s="75" t="s">
        <v>25</v>
      </c>
      <c r="E131" s="76">
        <v>11000.0</v>
      </c>
      <c r="F131" s="79" t="s">
        <v>169</v>
      </c>
      <c r="G131" s="71"/>
      <c r="H131" s="79" t="s">
        <v>23</v>
      </c>
      <c r="I131" s="92"/>
      <c r="J131" s="92">
        <v>1.669915437E7</v>
      </c>
      <c r="K131" s="79"/>
      <c r="L131" s="121"/>
    </row>
    <row r="132">
      <c r="A132" s="73" t="s">
        <v>164</v>
      </c>
      <c r="B132" s="73" t="s">
        <v>20</v>
      </c>
      <c r="C132" s="84">
        <v>541.0</v>
      </c>
      <c r="D132" s="75" t="s">
        <v>77</v>
      </c>
      <c r="E132" s="76">
        <v>3000.0</v>
      </c>
      <c r="F132" s="89"/>
      <c r="G132" s="71"/>
      <c r="H132" s="79" t="s">
        <v>23</v>
      </c>
      <c r="I132" s="92"/>
      <c r="J132" s="92">
        <v>275000.0</v>
      </c>
      <c r="K132" s="79"/>
      <c r="L132" s="121"/>
    </row>
    <row r="133" ht="15.75" customHeight="1">
      <c r="A133" s="130"/>
      <c r="B133" s="67"/>
      <c r="C133" s="131"/>
      <c r="D133" s="68"/>
      <c r="E133" s="132"/>
      <c r="F133" s="89"/>
      <c r="G133" s="71"/>
      <c r="H133" s="71"/>
      <c r="I133" s="71"/>
      <c r="J133" s="72"/>
      <c r="K133" s="79"/>
      <c r="L133" s="72"/>
    </row>
    <row r="134" ht="15.75" customHeight="1">
      <c r="A134" s="130"/>
      <c r="B134" s="67"/>
      <c r="C134" s="131"/>
      <c r="D134" s="68"/>
      <c r="E134" s="132"/>
      <c r="F134" s="89"/>
      <c r="G134" s="71"/>
      <c r="H134" s="71"/>
      <c r="I134" s="71"/>
      <c r="J134" s="72"/>
      <c r="K134" s="79"/>
      <c r="L134" s="72"/>
    </row>
    <row r="135" ht="15.75" customHeight="1">
      <c r="A135" s="130"/>
      <c r="B135" s="67"/>
      <c r="C135" s="131"/>
      <c r="D135" s="68"/>
      <c r="E135" s="132"/>
      <c r="F135" s="89"/>
      <c r="G135" s="71"/>
      <c r="H135" s="71"/>
      <c r="I135" s="71"/>
      <c r="J135" s="72"/>
      <c r="K135" s="71"/>
      <c r="L135" s="72"/>
    </row>
    <row r="136" ht="15.75" customHeight="1">
      <c r="A136" s="22" t="s">
        <v>7</v>
      </c>
      <c r="B136" s="23" t="s">
        <v>8</v>
      </c>
      <c r="C136" s="23" t="s">
        <v>9</v>
      </c>
      <c r="D136" s="23" t="s">
        <v>10</v>
      </c>
      <c r="E136" s="23" t="s">
        <v>11</v>
      </c>
      <c r="F136" s="23" t="s">
        <v>12</v>
      </c>
      <c r="G136" s="23" t="s">
        <v>13</v>
      </c>
      <c r="H136" s="24" t="s">
        <v>14</v>
      </c>
      <c r="I136" s="24" t="s">
        <v>15</v>
      </c>
      <c r="J136" s="24" t="s">
        <v>16</v>
      </c>
      <c r="K136" s="24" t="s">
        <v>14</v>
      </c>
      <c r="L136" s="24" t="s">
        <v>57</v>
      </c>
    </row>
    <row r="137" ht="15.75" customHeight="1">
      <c r="A137" s="83" t="s">
        <v>170</v>
      </c>
      <c r="B137" s="83" t="s">
        <v>171</v>
      </c>
      <c r="C137" s="84">
        <v>364.0</v>
      </c>
      <c r="D137" s="85" t="s">
        <v>116</v>
      </c>
      <c r="E137" s="86">
        <v>0.0</v>
      </c>
      <c r="F137" s="89"/>
      <c r="G137" s="71"/>
      <c r="H137" s="89"/>
      <c r="I137" s="71"/>
      <c r="J137" s="92"/>
      <c r="K137" s="89"/>
      <c r="L137" s="103"/>
    </row>
    <row r="138" ht="15.75" customHeight="1">
      <c r="A138" s="83" t="s">
        <v>170</v>
      </c>
      <c r="B138" s="83" t="s">
        <v>171</v>
      </c>
      <c r="C138" s="84">
        <v>365.0</v>
      </c>
      <c r="D138" s="85" t="s">
        <v>116</v>
      </c>
      <c r="E138" s="86">
        <v>0.0</v>
      </c>
      <c r="F138" s="89"/>
      <c r="G138" s="71"/>
      <c r="H138" s="89"/>
      <c r="I138" s="71"/>
      <c r="J138" s="92"/>
      <c r="K138" s="89"/>
      <c r="L138" s="103"/>
    </row>
    <row r="139" ht="15.75" customHeight="1">
      <c r="A139" s="83" t="s">
        <v>170</v>
      </c>
      <c r="B139" s="83" t="s">
        <v>171</v>
      </c>
      <c r="C139" s="84">
        <v>368.0</v>
      </c>
      <c r="D139" s="85" t="s">
        <v>116</v>
      </c>
      <c r="E139" s="86">
        <v>0.0</v>
      </c>
      <c r="F139" s="89"/>
      <c r="G139" s="71"/>
      <c r="H139" s="89"/>
      <c r="I139" s="71"/>
      <c r="J139" s="92"/>
      <c r="K139" s="89"/>
      <c r="L139" s="103"/>
    </row>
    <row r="140" ht="15.75" customHeight="1">
      <c r="A140" s="83" t="s">
        <v>170</v>
      </c>
      <c r="B140" s="73" t="s">
        <v>74</v>
      </c>
      <c r="C140" s="75">
        <v>542.0</v>
      </c>
      <c r="D140" s="85" t="s">
        <v>172</v>
      </c>
      <c r="E140" s="86">
        <v>1000.0</v>
      </c>
      <c r="F140" s="89"/>
      <c r="G140" s="71"/>
      <c r="H140" s="79" t="s">
        <v>23</v>
      </c>
      <c r="I140" s="71"/>
      <c r="J140" s="92">
        <v>5004200.0</v>
      </c>
      <c r="K140" s="89"/>
      <c r="L140" s="103"/>
    </row>
    <row r="141" ht="15.75" customHeight="1">
      <c r="A141" s="83" t="s">
        <v>170</v>
      </c>
      <c r="B141" s="73" t="s">
        <v>74</v>
      </c>
      <c r="C141" s="75">
        <v>542.0</v>
      </c>
      <c r="D141" s="85" t="s">
        <v>76</v>
      </c>
      <c r="E141" s="86">
        <v>1000.0</v>
      </c>
      <c r="F141" s="89"/>
      <c r="G141" s="71"/>
      <c r="H141" s="79" t="s">
        <v>23</v>
      </c>
      <c r="I141" s="71"/>
      <c r="J141" s="92">
        <v>6656714.85</v>
      </c>
      <c r="K141" s="89"/>
      <c r="L141" s="103"/>
    </row>
    <row r="142" ht="15.75" customHeight="1">
      <c r="A142" s="83" t="s">
        <v>170</v>
      </c>
      <c r="B142" s="83" t="s">
        <v>173</v>
      </c>
      <c r="C142" s="84">
        <v>571.0</v>
      </c>
      <c r="D142" s="85" t="s">
        <v>137</v>
      </c>
      <c r="E142" s="86">
        <v>60.0</v>
      </c>
      <c r="F142" s="89"/>
      <c r="G142" s="71"/>
      <c r="H142" s="79" t="s">
        <v>23</v>
      </c>
      <c r="I142" s="71"/>
      <c r="J142" s="92">
        <v>3700000.0</v>
      </c>
      <c r="K142" s="89"/>
      <c r="L142" s="103"/>
    </row>
    <row r="143" ht="15.75" customHeight="1">
      <c r="A143" s="83" t="s">
        <v>170</v>
      </c>
      <c r="B143" s="83" t="s">
        <v>173</v>
      </c>
      <c r="C143" s="84">
        <v>573.0</v>
      </c>
      <c r="D143" s="85" t="s">
        <v>174</v>
      </c>
      <c r="E143" s="86">
        <v>1156490.0</v>
      </c>
      <c r="F143" s="89"/>
      <c r="G143" s="71"/>
      <c r="H143" s="79" t="s">
        <v>23</v>
      </c>
      <c r="I143" s="71"/>
      <c r="J143" s="92">
        <v>1676475.0</v>
      </c>
      <c r="K143" s="89"/>
      <c r="L143" s="103"/>
    </row>
    <row r="144" ht="15.75" customHeight="1">
      <c r="A144" s="83" t="s">
        <v>170</v>
      </c>
      <c r="B144" s="83" t="s">
        <v>175</v>
      </c>
      <c r="C144" s="84">
        <v>573.0</v>
      </c>
      <c r="D144" s="85" t="s">
        <v>176</v>
      </c>
      <c r="E144" s="86">
        <v>1020000.0</v>
      </c>
      <c r="F144" s="89"/>
      <c r="G144" s="71"/>
      <c r="H144" s="79" t="s">
        <v>23</v>
      </c>
      <c r="I144" s="71"/>
      <c r="J144" s="92">
        <v>6000000.0</v>
      </c>
      <c r="K144" s="89"/>
      <c r="L144" s="103"/>
    </row>
    <row r="145" ht="15.75" customHeight="1">
      <c r="A145" s="83" t="s">
        <v>170</v>
      </c>
      <c r="B145" s="83" t="s">
        <v>175</v>
      </c>
      <c r="C145" s="84">
        <v>573.0</v>
      </c>
      <c r="D145" s="85" t="s">
        <v>137</v>
      </c>
      <c r="E145" s="86">
        <v>700050.0</v>
      </c>
      <c r="F145" s="89"/>
      <c r="G145" s="71"/>
      <c r="H145" s="79" t="s">
        <v>23</v>
      </c>
      <c r="I145" s="71"/>
      <c r="J145" s="92"/>
      <c r="K145" s="89"/>
      <c r="L145" s="103"/>
    </row>
    <row r="146" ht="15.75" customHeight="1">
      <c r="A146" s="130"/>
      <c r="B146" s="130"/>
      <c r="C146" s="131"/>
      <c r="D146" s="68"/>
      <c r="E146" s="132"/>
      <c r="F146" s="89"/>
      <c r="G146" s="71"/>
      <c r="H146" s="71"/>
      <c r="I146" s="71"/>
      <c r="J146" s="72"/>
      <c r="K146" s="71"/>
      <c r="L146" s="72"/>
    </row>
    <row r="147" ht="15.75" customHeight="1">
      <c r="A147" s="130"/>
      <c r="B147" s="130"/>
      <c r="C147" s="131"/>
      <c r="D147" s="68"/>
      <c r="E147" s="132"/>
      <c r="F147" s="89"/>
      <c r="G147" s="71"/>
      <c r="H147" s="71"/>
      <c r="I147" s="71"/>
      <c r="J147" s="72"/>
      <c r="K147" s="71"/>
      <c r="L147" s="72"/>
    </row>
    <row r="148" ht="15.75" customHeight="1">
      <c r="A148" s="130"/>
      <c r="B148" s="130"/>
      <c r="C148" s="131"/>
      <c r="D148" s="68"/>
      <c r="E148" s="132"/>
      <c r="F148" s="89"/>
      <c r="G148" s="71"/>
      <c r="H148" s="71"/>
      <c r="I148" s="71"/>
      <c r="J148" s="72"/>
      <c r="K148" s="71"/>
      <c r="L148" s="72"/>
    </row>
    <row r="149" ht="15.75" customHeight="1">
      <c r="A149" s="22" t="s">
        <v>7</v>
      </c>
      <c r="B149" s="23" t="s">
        <v>8</v>
      </c>
      <c r="C149" s="23" t="s">
        <v>9</v>
      </c>
      <c r="D149" s="23" t="s">
        <v>10</v>
      </c>
      <c r="E149" s="23" t="s">
        <v>11</v>
      </c>
      <c r="F149" s="23" t="s">
        <v>12</v>
      </c>
      <c r="G149" s="23" t="s">
        <v>13</v>
      </c>
      <c r="H149" s="24" t="s">
        <v>14</v>
      </c>
      <c r="I149" s="24" t="s">
        <v>15</v>
      </c>
      <c r="J149" s="24" t="s">
        <v>16</v>
      </c>
      <c r="K149" s="24" t="s">
        <v>14</v>
      </c>
      <c r="L149" s="24" t="s">
        <v>57</v>
      </c>
    </row>
    <row r="150" ht="15.75" customHeight="1">
      <c r="A150" s="83" t="s">
        <v>177</v>
      </c>
      <c r="B150" s="83" t="s">
        <v>101</v>
      </c>
      <c r="C150" s="84">
        <v>182.0</v>
      </c>
      <c r="D150" s="85" t="s">
        <v>104</v>
      </c>
      <c r="E150" s="86">
        <f>589667+4000</f>
        <v>593667</v>
      </c>
      <c r="F150" s="89"/>
      <c r="G150" s="133"/>
      <c r="H150" s="79" t="s">
        <v>23</v>
      </c>
      <c r="I150" s="133"/>
      <c r="J150" s="92">
        <v>3.584494824E7</v>
      </c>
      <c r="K150" s="79"/>
      <c r="L150" s="121"/>
    </row>
    <row r="151" ht="15.75" customHeight="1">
      <c r="A151" s="83" t="s">
        <v>177</v>
      </c>
      <c r="B151" s="83" t="s">
        <v>101</v>
      </c>
      <c r="C151" s="84">
        <v>182.0</v>
      </c>
      <c r="D151" s="85" t="s">
        <v>102</v>
      </c>
      <c r="E151" s="86">
        <v>1.7753E7</v>
      </c>
      <c r="F151" s="102"/>
      <c r="G151" s="133"/>
      <c r="H151" s="79" t="s">
        <v>23</v>
      </c>
      <c r="I151" s="133"/>
      <c r="J151" s="92">
        <v>1.776E7</v>
      </c>
      <c r="K151" s="79"/>
      <c r="L151" s="121"/>
    </row>
    <row r="152" ht="15.75" customHeight="1">
      <c r="A152" s="73" t="s">
        <v>145</v>
      </c>
      <c r="B152" s="73" t="s">
        <v>146</v>
      </c>
      <c r="C152" s="74">
        <v>244.0</v>
      </c>
      <c r="D152" s="85" t="s">
        <v>150</v>
      </c>
      <c r="E152" s="86">
        <v>250000.0</v>
      </c>
      <c r="F152" s="122" t="s">
        <v>178</v>
      </c>
      <c r="G152" s="133"/>
      <c r="H152" s="79" t="s">
        <v>23</v>
      </c>
      <c r="I152" s="133"/>
      <c r="J152" s="97">
        <v>1.335E7</v>
      </c>
      <c r="K152" s="105" t="s">
        <v>45</v>
      </c>
      <c r="L152" s="121"/>
    </row>
    <row r="153" ht="15.75" customHeight="1"/>
    <row r="154" ht="15.75" customHeight="1">
      <c r="E154" s="134">
        <f>SUM(E7:E152)</f>
        <v>1067271400</v>
      </c>
    </row>
    <row r="155" ht="15.75" customHeight="1">
      <c r="F155" s="135" t="s">
        <v>179</v>
      </c>
    </row>
    <row r="156" ht="15.75" customHeight="1">
      <c r="E156" s="136"/>
      <c r="F156" s="137">
        <v>1.381675863285E10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</sheetData>
  <customSheetViews>
    <customSheetView guid="{27029C99-1B8F-435A-A921-6D11F4AD659E}" filter="1" showAutoFilter="1">
      <autoFilter ref="$A$26:$L$26"/>
    </customSheetView>
    <customSheetView guid="{351CEED0-FEF4-4578-9721-DAFCBB80B5A1}" filter="1" showAutoFilter="1">
      <autoFilter ref="$A$6:$L$24"/>
    </customSheetView>
    <customSheetView guid="{37F47BC3-F859-4921-B1FB-1DB562960765}" filter="1" showAutoFilter="1">
      <autoFilter ref="$A$26:$L$26">
        <sortState ref="A26:L26">
          <sortCondition ref="D26"/>
        </sortState>
      </autoFilter>
    </customSheetView>
    <customSheetView guid="{EB3044E7-C60A-4209-BD6B-F8A36D0666E9}" filter="1" showAutoFilter="1">
      <autoFilter ref="$A$6:$L$24"/>
    </customSheetView>
    <customSheetView guid="{163F5B3C-5AAC-4712-BBF1-15CC4D5FE810}" filter="1" showAutoFilter="1">
      <autoFilter ref="$A$6:$L$24">
        <sortState ref="A6:L24">
          <sortCondition ref="D6:D24"/>
        </sortState>
      </autoFilter>
    </customSheetView>
    <customSheetView guid="{5A2EADFB-0565-4F18-B0CF-816C3B3987E8}" filter="1" showAutoFilter="1">
      <autoFilter ref="$A$26:$L$26"/>
    </customSheetView>
    <customSheetView guid="{C226DD3B-1CDE-4315-9B9A-43362ED13F36}" filter="1" showAutoFilter="1">
      <autoFilter ref="$A$26:$L$26"/>
    </customSheetView>
    <customSheetView guid="{CFB8DD1F-B306-4C45-BBCE-30BAFC05F82A}" filter="1" showAutoFilter="1">
      <autoFilter ref="$A$6:$L$24"/>
    </customSheetView>
    <customSheetView guid="{DC560D2A-7DA1-4CF8-88F3-D7014F719F40}" filter="1" showAutoFilter="1">
      <autoFilter ref="$A$26:$L$26">
        <sortState ref="A26:L26">
          <sortCondition ref="D26"/>
        </sortState>
      </autoFilter>
    </customSheetView>
    <customSheetView guid="{1723B61F-0CBB-49AD-A885-BA04BC21ECD0}" filter="1" showAutoFilter="1">
      <autoFilter ref="$A$26:$L$26">
        <sortState ref="A26:L26">
          <sortCondition ref="D26"/>
        </sortState>
      </autoFilter>
    </customSheetView>
  </customSheetViews>
  <mergeCells count="7">
    <mergeCell ref="A1:G1"/>
    <mergeCell ref="H1:I1"/>
    <mergeCell ref="K1:L1"/>
    <mergeCell ref="A2:A5"/>
    <mergeCell ref="B2:B5"/>
    <mergeCell ref="C2:C5"/>
    <mergeCell ref="D2:G5"/>
  </mergeCells>
  <dataValidations>
    <dataValidation type="custom" allowBlank="1" showDropDown="1" sqref="E7:E24 J7:J24">
      <formula1>AND(ISNUMBER(E7),(NOT(OR(NOT(ISERROR(DATEVALUE(E7))), AND(ISNUMBER(E7), LEFT(CELL("format", E7))="D")))))</formula1>
    </dataValidation>
    <dataValidation type="list" allowBlank="1" showErrorMessage="1" sqref="H7:H23 H27:H49 K53:K60 K62:K100 H53:H112 K107:K112 H116:H125 H130:H132 H137:H145 H150:H152 K152">
      <formula1>"Exclusivo,Não Exclusivo"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