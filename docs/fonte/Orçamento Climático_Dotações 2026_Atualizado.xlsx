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nicius.farias\Desktop\Projeto_Orclima\Dotações\"/>
    </mc:Choice>
  </mc:AlternateContent>
  <xr:revisionPtr revIDLastSave="0" documentId="8_{54C07B49-453F-42E4-B02A-79FDBFCFE8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DD - ORÇAMENTO CLIMÁTICO" sheetId="1" r:id="rId1"/>
  </sheets>
  <definedNames>
    <definedName name="_xlnm._FilterDatabase" localSheetId="0" hidden="1">'QDD - ORÇAMENTO CLIMÁTICO'!$A$26:$L$26</definedName>
    <definedName name="Z_163F5B3C_5AAC_4712_BBF1_15CC4D5FE810_.wvu.FilterData" localSheetId="0" hidden="1">'QDD - ORÇAMENTO CLIMÁTICO'!$A$6:$L$24</definedName>
    <definedName name="Z_1723B61F_0CBB_49AD_A885_BA04BC21ECD0_.wvu.FilterData" localSheetId="0" hidden="1">'QDD - ORÇAMENTO CLIMÁTICO'!$A$26:$L$26</definedName>
    <definedName name="Z_27029C99_1B8F_435A_A921_6D11F4AD659E_.wvu.FilterData" localSheetId="0" hidden="1">'QDD - ORÇAMENTO CLIMÁTICO'!$A$26:$L$26</definedName>
    <definedName name="Z_351CEED0_FEF4_4578_9721_DAFCBB80B5A1_.wvu.FilterData" localSheetId="0" hidden="1">'QDD - ORÇAMENTO CLIMÁTICO'!$A$6:$L$24</definedName>
    <definedName name="Z_37F47BC3_F859_4921_B1FB_1DB562960765_.wvu.FilterData" localSheetId="0" hidden="1">'QDD - ORÇAMENTO CLIMÁTICO'!$A$26:$L$26</definedName>
    <definedName name="Z_5A2EADFB_0565_4F18_B0CF_816C3B3987E8_.wvu.FilterData" localSheetId="0" hidden="1">'QDD - ORÇAMENTO CLIMÁTICO'!$A$26:$L$26</definedName>
    <definedName name="Z_C226DD3B_1CDE_4315_9B9A_43362ED13F36_.wvu.FilterData" localSheetId="0" hidden="1">'QDD - ORÇAMENTO CLIMÁTICO'!$A$26:$L$26</definedName>
    <definedName name="Z_CFB8DD1F_B306_4C45_BBCE_30BAFC05F82A_.wvu.FilterData" localSheetId="0" hidden="1">'QDD - ORÇAMENTO CLIMÁTICO'!$A$6:$L$24</definedName>
    <definedName name="Z_DC560D2A_7DA1_4CF8_88F3_D7014F719F40_.wvu.FilterData" localSheetId="0" hidden="1">'QDD - ORÇAMENTO CLIMÁTICO'!$A$26:$L$26</definedName>
    <definedName name="Z_EB3044E7_C60A_4209_BD6B_F8A36D0666E9_.wvu.FilterData" localSheetId="0" hidden="1">'QDD - ORÇAMENTO CLIMÁTICO'!$A$6:$L$24</definedName>
  </definedNames>
  <calcPr calcId="191029"/>
  <customWorkbookViews>
    <customWorkbookView name="Agrupar por Órgão [2]" guid="{EB3044E7-C60A-4209-BD6B-F8A36D0666E9}" maximized="1" windowWidth="0" windowHeight="0" activeSheetId="0"/>
    <customWorkbookView name="Filtro 3" guid="{351CEED0-FEF4-4578-9721-DAFCBB80B5A1}" maximized="1" windowWidth="0" windowHeight="0" activeSheetId="0"/>
    <customWorkbookView name="Filtro 2" guid="{27029C99-1B8F-435A-A921-6D11F4AD659E}" maximized="1" windowWidth="0" windowHeight="0" activeSheetId="0"/>
    <customWorkbookView name="Filtro 1" guid="{1723B61F-0CBB-49AD-A885-BA04BC21ECD0}" maximized="1" windowWidth="0" windowHeight="0" activeSheetId="0"/>
    <customWorkbookView name="Agrupar por Eixo" guid="{C226DD3B-1CDE-4315-9B9A-43362ED13F36}" maximized="1" windowWidth="0" windowHeight="0" activeSheetId="0"/>
    <customWorkbookView name="Agrupar por Órgão" guid="{163F5B3C-5AAC-4712-BBF1-15CC4D5FE810}" maximized="1" windowWidth="0" windowHeight="0" activeSheetId="0"/>
    <customWorkbookView name="Filtro 7" guid="{37F47BC3-F859-4921-B1FB-1DB562960765}" maximized="1" windowWidth="0" windowHeight="0" activeSheetId="0"/>
    <customWorkbookView name="Filtro 6" guid="{5A2EADFB-0565-4F18-B0CF-816C3B3987E8}" maximized="1" windowWidth="0" windowHeight="0" activeSheetId="0"/>
    <customWorkbookView name="Filtro 5" guid="{CFB8DD1F-B306-4C45-BBCE-30BAFC05F82A}" maximized="1" windowWidth="0" windowHeight="0" activeSheetId="0"/>
    <customWorkbookView name="Filtro 4" guid="{DC560D2A-7DA1-4CF8-88F3-D7014F719F40}" maximized="1" windowWidth="0" windowHeight="0" activeSheetId="0"/>
  </customWorkbookViews>
  <fileRecoveryPr repairLoad="1"/>
</workbook>
</file>

<file path=xl/calcChain.xml><?xml version="1.0" encoding="utf-8"?>
<calcChain xmlns="http://schemas.openxmlformats.org/spreadsheetml/2006/main">
  <c r="E154" i="1" l="1"/>
  <c r="E150" i="1"/>
  <c r="E122" i="1"/>
  <c r="E121" i="1"/>
  <c r="E117" i="1"/>
  <c r="E111" i="1"/>
  <c r="E109" i="1"/>
  <c r="E106" i="1"/>
  <c r="F99" i="1"/>
  <c r="E97" i="1"/>
  <c r="E95" i="1"/>
  <c r="E92" i="1"/>
  <c r="E91" i="1"/>
  <c r="E89" i="1"/>
  <c r="E85" i="1"/>
  <c r="E84" i="1"/>
  <c r="E83" i="1"/>
  <c r="E82" i="1"/>
  <c r="E81" i="1"/>
  <c r="E80" i="1"/>
  <c r="E79" i="1"/>
  <c r="E71" i="1"/>
  <c r="E70" i="1"/>
  <c r="E69" i="1"/>
  <c r="E68" i="1"/>
  <c r="E65" i="1"/>
  <c r="J63" i="1"/>
  <c r="E62" i="1"/>
  <c r="E61" i="1"/>
  <c r="E54" i="1"/>
  <c r="E47" i="1"/>
  <c r="E43" i="1"/>
  <c r="J33" i="1"/>
  <c r="E28" i="1"/>
  <c r="E22" i="1"/>
  <c r="E16" i="1"/>
  <c r="E15" i="1"/>
</calcChain>
</file>

<file path=xl/sharedStrings.xml><?xml version="1.0" encoding="utf-8"?>
<sst xmlns="http://schemas.openxmlformats.org/spreadsheetml/2006/main" count="701" uniqueCount="180">
  <si>
    <t>QDD - ORÇAMENTO CLIMÁTICO</t>
  </si>
  <si>
    <t>Edição em 22/05/2026</t>
  </si>
  <si>
    <t>Edição em 27/05/2026</t>
  </si>
  <si>
    <t>Legenda:</t>
  </si>
  <si>
    <t>Sem Emendas.</t>
  </si>
  <si>
    <t>Valor de dotação inicial &gt;0, sem emendas, contudo, pode ocorrer alteração, tendo em vista os valores de emendas.</t>
  </si>
  <si>
    <t xml:space="preserve">                       Valor de dotação inicial =0, sem emendas, 
contudo, pode ocorrer alteração, tendo em vista os valores de emendas.</t>
  </si>
  <si>
    <t>Eixo</t>
  </si>
  <si>
    <t>Função</t>
  </si>
  <si>
    <t>Subfunção</t>
  </si>
  <si>
    <t>Órgão</t>
  </si>
  <si>
    <t>Dotação</t>
  </si>
  <si>
    <t>Observações (Detalhamento)</t>
  </si>
  <si>
    <t>Valores - Emendas</t>
  </si>
  <si>
    <t>Classificação do Gasto</t>
  </si>
  <si>
    <t>Justificativa (ponderação em caso de gasto não-exclusivo)</t>
  </si>
  <si>
    <t>Total Geral da Dotação</t>
  </si>
  <si>
    <t>Classificação do Gasto 2</t>
  </si>
  <si>
    <t xml:space="preserve">Dotação </t>
  </si>
  <si>
    <t>Eixo I – Desenvolvimento Sustentável e Bioeconomia</t>
  </si>
  <si>
    <t>18 – Gestão Ambiental</t>
  </si>
  <si>
    <t>CDSA (SEFAZ)</t>
  </si>
  <si>
    <t>Esse valor no QDD está disponibilizado a Unidade 512 - CDSA (Mercados de Economia Verde), mas a dotação inicial na LOA ao órgão é bem inferior, conforme indicado na Coluna J</t>
  </si>
  <si>
    <t>Exclusivo</t>
  </si>
  <si>
    <t>CDSA</t>
  </si>
  <si>
    <t>SEMA</t>
  </si>
  <si>
    <t>I) EMENDA Nº 08/2025 APOIO ÀS AÇÕES DA ASSOCIAÇÃO
DOS PRODUTORES RURAIS DO ACRE FLORESTA COM ABELHAS
II) EMENDA Nº 08/2025 APOIO ÀS AÇÕES DA ASSOCIAÇÃO DOS SERVIDORES DA SECRETARIA DE ESTADO DE MEIO AMBIENTE E RECURSOS NATURAIS ASSEMA
III) EMENDA Nº 11/2025 APOIO ÀS AÇÕES DO INSTITUTO PLANTAR
IV) EMENDA Nº 13/2025 APOIO ÀS AÇÕES DO CENTRO ESPÍRITA BENEFICIENTE UNIÃO DO VEGETAL, NUCLEO ÁGUA DA VIDA
V) EMENDA Nº 23/2025 APOIO ÀS AÇÕES DO MUNICÍPIO DE MANOEL URBANO</t>
  </si>
  <si>
    <t>I) R$ 20.000,00
II) R$ 20.000,00
III) R$ 300.000,00
IV) R$ 67.000,00
V) R$ 60.000,00</t>
  </si>
  <si>
    <t xml:space="preserve">SEMA (Fundo Est. de Meio Ambiente e Florestas) </t>
  </si>
  <si>
    <t>IMAC não está presente na subfunção.</t>
  </si>
  <si>
    <t>I) EMENDA Nº 09/2025 APOIO ÀS AÇÕES DA AGÊNCIA DE
DESENVOLVIMENTO SOCIAL DA AMAZÔNIA
II) EMENDA Nº 21/2025 APOIO ÀS AÇÕES DA ASSOCIAÇÃO DE DESENVOLVIMENTO AGROECOLOGICO E AMBIENTAL DA BACIA DO RIO CROA
III) EMENDA Nº 22/2025 APOIO ÀS AÇÕES DA ASSOCIAÇÃO ANDIROBA</t>
  </si>
  <si>
    <t>I) R$ 130.000,00
II) R$ 200.000,00
III) R$ 100.000,00</t>
  </si>
  <si>
    <t xml:space="preserve">20 – Agricultura </t>
  </si>
  <si>
    <t>SEAGRI</t>
  </si>
  <si>
    <t>PAA</t>
  </si>
  <si>
    <t>CAGEACRE</t>
  </si>
  <si>
    <t>I) EMENDA Nº 16/2025 APOIO ÀS AÇÕES DA SECRETARIA
DE ESTADO DE AGRICULTURA
ATER PARA POVOS INDÍGENAS</t>
  </si>
  <si>
    <t>I) R$ 50.000,00</t>
  </si>
  <si>
    <t>EMATER</t>
  </si>
  <si>
    <t>R$ 21.095.517,31 Gestão de Folha de Pagamento</t>
  </si>
  <si>
    <t>SEAGRI (Fundo Agropecuário (FUNAGRO))</t>
  </si>
  <si>
    <t>22 – Indústria</t>
  </si>
  <si>
    <t>SEICT (Fundo de Desenvolvimento Sustentável (FDS))</t>
  </si>
  <si>
    <t xml:space="preserve">23 – Comércio e Serviços </t>
  </si>
  <si>
    <t>JUCEAC (SEFAZ)</t>
  </si>
  <si>
    <t>Não Exclusivo</t>
  </si>
  <si>
    <t>Programa Simplifica Mais (envolve diversos setores, inclusive setor produtivo)</t>
  </si>
  <si>
    <t>SETE</t>
  </si>
  <si>
    <t>I) EMENDA Nº 10/2025 APOIO ÀS AÇÕES DO INSTITUTO DE EDUCAÇÃO
E DESENVOLVIMENTO DA AMAZÔNIA - IEDA;
II) EMENDA Nº 14/2025 APOIO ÀS AÇÕES DA
ASSOCIAÇÃO ASAS AMIGAS.</t>
  </si>
  <si>
    <t>I) R$ R$ 100.000,00
II) R$ 230.000,00</t>
  </si>
  <si>
    <t>SEICT</t>
  </si>
  <si>
    <t xml:space="preserve">I) EMENDA Nº 08/2025 APOIO ÀS AÇÕES DA ASSOCIAÇÃO
COMERCIAL, INDUSTRIAL, DE SERVICOS E AGRÍCOLA DO ACRE;
II) EMENDA Nº 08/2025 APOIO ÀS AÇÕES DA COOPERATIVA
DE TRABALHO TROPICAL PARQUET - COOPERPARQUET;
III) EMENDA Nº 13/2025 APOIO ÀS AÇÕES DA ASSOCIAÇÃO
COMERCIAL, INDUSTRIAL, DE SERVICOS E AGRÍCOLA DE SENA MADUREIRA.
</t>
  </si>
  <si>
    <t>I) R$ 70.000,00
II) R$ 30.000,00
III) R$ 50.000,00</t>
  </si>
  <si>
    <t>ANAC</t>
  </si>
  <si>
    <t>R$ 6.115.071,30 é Gestão de Folha de Pagamento</t>
  </si>
  <si>
    <t>SEICT (Fundo de Desenv. Sustentável (FDS))</t>
  </si>
  <si>
    <t>Envolve desenvolvimento da indústria e do comércio de forma genérica</t>
  </si>
  <si>
    <t>Column 12</t>
  </si>
  <si>
    <t>Eixo II – Mitigação das Mudanças Climáticas</t>
  </si>
  <si>
    <t>04 – Administração</t>
  </si>
  <si>
    <t>SEPLAN</t>
  </si>
  <si>
    <t>Envolve recursos para gestão estratégica de recursos, gestão orçamentária e contrapartidade de convênios e operações especiais (nem todas estão voltadas à redução de emissões de GEE, mas tem forte alocação às operações de crédito aos BDs)</t>
  </si>
  <si>
    <t>04 - Administração</t>
  </si>
  <si>
    <t>Envolve recursos para promoção da política de Des. Regional, mas também envolve recursos para provisão de Emendas Parlamentares de forma genérica</t>
  </si>
  <si>
    <t>Promoção da transição e eficiência energética na Adm. Pública</t>
  </si>
  <si>
    <t>SEAD</t>
  </si>
  <si>
    <t>SEFAZ</t>
  </si>
  <si>
    <t>06 - Segurança Pública</t>
  </si>
  <si>
    <t>SEJUSP</t>
  </si>
  <si>
    <t>Monitoramento ambiental-comando e controle</t>
  </si>
  <si>
    <t>SEJUSP (Fundo Est. de Segurança (FUNDESEG))</t>
  </si>
  <si>
    <t>17 - Saneamento</t>
  </si>
  <si>
    <t>SEOP</t>
  </si>
  <si>
    <t>Eficiência energética</t>
  </si>
  <si>
    <t>18 - Gestão Ambiental</t>
  </si>
  <si>
    <t>SEMA (Fundo Est. de Comando e Controle Ambiental)</t>
  </si>
  <si>
    <t>IMAC</t>
  </si>
  <si>
    <t>IMC</t>
  </si>
  <si>
    <t>25 – Energia</t>
  </si>
  <si>
    <t>AGEAC (SEOP)</t>
  </si>
  <si>
    <t>Envolve promoção da regulação de energia de forma genérica, não apenas renovável</t>
  </si>
  <si>
    <t xml:space="preserve">26 – Transporte </t>
  </si>
  <si>
    <t>DERACRE (SEHURB)</t>
  </si>
  <si>
    <t>I) EMENDA Nº 08/2025 APOIO ÀS AÇÕES DO DEPARTAMENTO DE ESTRADAS DE RODAGEM, INFRAESTRUTURA HIDROVIÁRIA E AEROPORTUÁRIA DO ACRE;
II) EMENDA Nº 13/2025 APOIO ÀS AÇÕES DO MUNICÍPIO DE MANOEL URBANO;
III) EMENDA Nº 14/2025 APOIO ÀS AÇÕES DO DEPARTAMENTO DE ESTRADAS DE RODAGEM, INFRAESTRUTURA HIDROVIÁRIA E AEROPORTUÁRIA DO ACRE;
IV) EMENDA Nº 15/2025 APOIO ÀS AÇÕES DO MUNICÍPIO DE FEIJÓ;
V) EMENDA Nº 15/2025 APOIO ÀS AÇÕES DO MUNICÍPIO DE TARAUACÁ;
VI) EMENDA Nº 15/2025 APOIO ÀS AÇÕES DO MUNICÍPIO DE XAPURI;
VII) EMENDA Nº 16/2025 APOIO ÀS AÇÕES DO MUNICÍPIO DE CAPIXABA;
VIII) EMENDA Nº 16/2025 APOIO ÀS AÇÕES DO MUNICÍPIO DE MÂNCIO LIMA;
IX) EMENDA Nº 21/2025 APOIO ÀS AÇÕES DO SINDICATO DOS CONDUTORES AUTONOMOS DE VEICULOS RODOVIARIOS DE CRUZEIRO DO SUL;
X) EMENDA Nº 23/2025 APOIO ÀS AÇÕES DO MUNICÍPIO DE MANOEL URBANO;
XI) EMENDA Nº 23/2025 APOIO ÀS AÇÕES DO MUNICÍPIO DE PLÁCIDO DE CASTRO;
XII) EMENDA Nº 23/2025 APOIO ÀS AÇÕES DO MUNICÍPIO DE SANTA ROSA DO PURUS.</t>
  </si>
  <si>
    <t>I) R$ 50.000,00
II) R$ 50.000,00
III)R$ 400.000,00
IV) R$ 150.000,00
V) R$ 200.000,00
VI) R$ 569.018,15
VII) R$ 50.000,00
VIII) R$ 100.000,00
IX) R$ 20.000,00
X) R$ 150.000,00
XI) R$ 150.000,00
XII) R$ 100.000,00</t>
  </si>
  <si>
    <t>Envolve recursos para construção e melhoria de ramais e outras atividades de melhoria de acesso logístico de forma genérica</t>
  </si>
  <si>
    <t>AGEAC (SEFAZ)</t>
  </si>
  <si>
    <t>Envolve recursos para promoção e regulação de transportes de forma genérica, não somente incentivo à renováveis</t>
  </si>
  <si>
    <t>Eixo III – Adaptação às Mudanças Climáticas</t>
  </si>
  <si>
    <t>01 - Legislativa</t>
  </si>
  <si>
    <t>TCE</t>
  </si>
  <si>
    <t>adaptação e melhoria estrutural de edificações e instalações públicas já devem contemplar ações de resiliência climática</t>
  </si>
  <si>
    <t>02 - Judiciário</t>
  </si>
  <si>
    <t>TJAC</t>
  </si>
  <si>
    <t>03 - Essencial à Justiça</t>
  </si>
  <si>
    <t>MPAC</t>
  </si>
  <si>
    <t>DPE</t>
  </si>
  <si>
    <t>PGE</t>
  </si>
  <si>
    <t>R$ 1.574.074.171,74</t>
  </si>
  <si>
    <t>SEGOV</t>
  </si>
  <si>
    <t>SEPI</t>
  </si>
  <si>
    <t xml:space="preserve">06 – Segurança Pública </t>
  </si>
  <si>
    <t xml:space="preserve">COORD. EST. PROTEÇÃO E DEFESA CIVIL </t>
  </si>
  <si>
    <t>06 – Segurança Pública</t>
  </si>
  <si>
    <t>CBMAC</t>
  </si>
  <si>
    <t>PCAC</t>
  </si>
  <si>
    <t>IAPEN</t>
  </si>
  <si>
    <t>SEJUSP (Fundo Penitenciário)</t>
  </si>
  <si>
    <t>PMAC</t>
  </si>
  <si>
    <t>08 - Assistência Social</t>
  </si>
  <si>
    <t>SEASDH</t>
  </si>
  <si>
    <t>09 - Previdência Social</t>
  </si>
  <si>
    <t xml:space="preserve">10 – Saúde </t>
  </si>
  <si>
    <t>SESACRE (Fundo Estadual de Saúde (FUNDES))</t>
  </si>
  <si>
    <t>11 - Trabalho</t>
  </si>
  <si>
    <t>12 - Educação</t>
  </si>
  <si>
    <t>SEE</t>
  </si>
  <si>
    <t>IEPTEC</t>
  </si>
  <si>
    <t>13 - Cultura</t>
  </si>
  <si>
    <t>FEM</t>
  </si>
  <si>
    <t>14 - Diretos da Cidadania</t>
  </si>
  <si>
    <t>ISE</t>
  </si>
  <si>
    <t>SEASDH (Fundo Est. Def. Consumidor (DEFC))</t>
  </si>
  <si>
    <t>SEMULHER</t>
  </si>
  <si>
    <t xml:space="preserve">15 – Urbanismo </t>
  </si>
  <si>
    <t>SEHURB</t>
  </si>
  <si>
    <t>SEHURB (Fundo Est. Esp. Recup. Bacia Igarapé S. Francisco)</t>
  </si>
  <si>
    <t>16 – Habitação</t>
  </si>
  <si>
    <t>SEHURB (Fundo Est. Habitação (FEH))</t>
  </si>
  <si>
    <t>COHAB (SEFAZ)</t>
  </si>
  <si>
    <t xml:space="preserve">17 – Saneamento </t>
  </si>
  <si>
    <t>SANEACRE (SEOP)</t>
  </si>
  <si>
    <t>I) EMENDA Nº 23/2025 APOIO ÀS AÇÕES DO SERVIÇO DE ÁGUA
E ESGOTO DO ESTADO DO ACRE</t>
  </si>
  <si>
    <t>I) R$ 100.000,00</t>
  </si>
  <si>
    <t xml:space="preserve">Pela Taxonomia Sustentável Brasileira a Construção, extensão e operação de sistemas de coleta dos esgotos sanitários
(sistemas novos e existentes) (E4) o saneamento básico possui uma múltipla finalidade, ele não pode ser exclusivo pois embora um sistema de esgoto eficiente aumente a resiliência de uma comunidade frente a inundações (evitando o transbordamento de dejetos e a propagação de doenças transmitidas pela água), a obra existiria mesmo sem a crise climática por razões de infraestrutura urbana básica
</t>
  </si>
  <si>
    <t>AGEACRE (SEOP)</t>
  </si>
  <si>
    <t>19 - Ciência e Tecnologia</t>
  </si>
  <si>
    <t>FUNTAC</t>
  </si>
  <si>
    <t>IDAF</t>
  </si>
  <si>
    <t xml:space="preserve">21 - Organização Agrária </t>
  </si>
  <si>
    <t>26 - Transportes</t>
  </si>
  <si>
    <t>DERACRE</t>
  </si>
  <si>
    <t xml:space="preserve">O setor de transportes visa, constitucionalmente, garantir a mobilidade, o acesso à saúde, educação e o desenvolvimento econômico. A TSB setor H (Transporte) define que, para uma atividade de infraestrutura ser considerada como contribuição para a Adaptação (Objetivo 2), ela deve atender a critérios técnicos específicos, como resiliência a eventos extremos, como inundações ou deslizamentos de terra
</t>
  </si>
  <si>
    <t>27 - Desporto e Lazer</t>
  </si>
  <si>
    <t>SEEL</t>
  </si>
  <si>
    <t>Eixo IV – Justiça Climática e Inclusão Social</t>
  </si>
  <si>
    <t xml:space="preserve">08 – Assistência Social </t>
  </si>
  <si>
    <t>I) EMENDA Nº 01/2025 APOIO ÀS AÇÕES DA ASSOCIAÇÃO DE MORADORES DO BAIRRO NOVA ESTAÇÃO
II) EMENDA Nº 02/2025 APOIO ÀS AÇÕES DA ASSOCIAÇÃO AME VIDA
III) EMENDA Nº 02/2025 APOIO ÀS AÇÕES DA ASSOCIAÇÃO TENDA DE DEUS - ATENDE
IV) EMENDA Nº 02/2025 APOIO ÀS AÇÕES DA IGREJA EVANGÉLICA ASSEMBLEIA DE DEUS QUIXADA - AC
V) EMENDA Nº 02/2025 APOIO ÀS AÇÕES DA IGREJA EVANGÉLICA RESTAURA ACRE
VI) EMENDA Nº 02/2025 APOIO ÀS AÇÕES DO INSTITUTO ACOLHER &amp; TRANSFORMAR
VII) EMENDA Nº 02/2025 APOIO ÀS AÇÕES DO INSTITUTO INOVA
VIII) EMENDA Nº 02/2025 APOIO ÀS AÇÕES DO INSTITUTO VIDA PLENA
IX) EMENDA Nº 04/2025 APOIO ÀS AÇÕES DA ASSOCIAÇÃO BENEFICENTE SOLAR DAS ACÁCIAS
X) EMENDA Nº 05/2025 APOIO ÀS AÇÕES DA UNIÃO CRISTÃ DE INCLUSAO FAMILIAR
XI) EMENDA Nº 05/2025 APOIO ÀS AÇÕES DO CENTRO DE DESENVOLVIMENTO DE CIDADANIA DO ESTADO DO ACRE
XII) EMENDA Nº 06/2025 APOIO ÀS AÇÕES DA ASSOCIAÇÃO AMIGOS DO PEITO - AAPEI
XIII) EMENDA Nº 06/2025 APOIO ÀS AÇÕES DA ASSOCIAÇÃO FOGO E GLORIA
XIV) EMENDA Nº 05/2025 APOIO ÀS AÇÕES DO CENTRO DE DESENVOLVIMENTO DE CIDADANIA DO ESTADO DO ACRE
XV) EMENDA Nº 06/2025 APOIO ÀS AÇÕES DO GRUPO DE MULHERES VIDA NOVA - GMUVIN
XVI) EMENDA Nº 08/2025 APOIO ÀS AÇÕES DA DIOCESE DE RIO BRANCO- PARÓQUIA SANTA INÊS
XVII) EMENDA Nº 08/2025 APOIO ÀS AÇÕES DO INSTITUTO INOVA (3)
XVIII) EMENDA Nº 09/2025 APOIO ÀS AÇÕES DA AUG RESP LOJA SIMB LIBERTADORA ACREANA NÚMERO 4
XIX) EMENDA Nº 09/2025 APOIO ÀS AÇÕES DA COMUNIDADE CATOLICA SHALOM
XX) EMENDA Nº 09/2025 APOIO ÀS AÇÕES DA DIOCESE DE CRUZEIRO DO SUL - CNPJ 04.021.218/0001-83
XXI) EMENDA Nº 11/2025 APOIO ÀS AÇÕES DO CENTRO BENEFICENTE INTERCULTURAL LUZ DIVINA DA FLORESTA
XXII) EMENDA Nº 11/2025 APOIO ÀS AÇÕES DO CENTRO ESPÍRITA BENEFICENTE UNIÃO DO VEGETAL- NÚCLEO SENHORA DAS ÁGUAS
XXIII) EMENDA Nº 11/2025 APOIO ÀS AÇÕES DO CENTRO ESPÍRITA UNIÃO DO VEGETAL, NUCLEO ÁGUA DA VIDA
XXIV) EMENDA Nº 13/2025 APOIO ÀS AÇÕES DA ASSOCIAÇÃO SONHAR E REALIZAR
XXV) EMENDA Nº 13/2025 APOIO ÀS AÇÕES DA AUG RESP LOJA SIMB LIBERTADORA ACREANA NÚMERO 4
XXVI) EMENDA Nº 13/2025 APOIO ÀS AÇÕES DA LOJA MACONICA FRATERNIDADE E TRABALHO
XXVII) EMENDA Nº 14/2025 APOIO ÀS AÇÕES DA IGREJA EVANGÉLICA FILADELFIA DA PALAVRA
XXVIII) EMENDA Nº 14/2025 APOIO ÀS AÇÕES DA IGREJA PENTECOSTAL O TRONO DE DEUS
XXIX) EMENDA Nº 14/2025 APOIO ÀS AÇÕES DA LOJA MACONICA FRATERNIDADE ACREANA
XXX) EMENDA Nº 14/2025 APOIO ÀS AÇÕES DO CENTRO ESPÍRITA BENEFICENTE UNIÃO DO VEGETAL NÚCLEO MARECHAL
XXXI) EMENDA Nº 14/2025 APOIO ÀS AÇÕES DO CENTRO ESPÍRITA BENEFICENTE UNIÃO DO VEGETAL -NUCLEO RIO JORDÃO
XXXII) EMENDA Nº 14/2025 APOIO ÀS AÇÕES DO CENTRO ESPÍRITA BENEFICENTE UNIÃO DO VEGETAL, NÚCLEO BELO REINADO
XXXIII) EMENDA Nº 14/2025 APOIO ÀS AÇÕES DO CENTRO ESPÍRITA BENEFICENTE UNIÃO DO VEGETAL, NÚCLEO PORTO RICO
XXXIV) EMENDA Nº 14/2025 APOIO ÀS AÇÕES DO CENTRO LUZ DO FIRMAMENTO RAIMUNDO FERREIRA
XXXV) EMENDA Nº 15/2025 APOIO ÀS AÇÕES DA ASSOCIAÇÃO ANDIROBA
XXXVI) EMENDA Nº 15/2025 APOIO ÀS AÇÕES DO MUNICÍPIO DE TARAUACÁ
XXXVII) EMENDA Nº 17/2025 APOIO ÀS AÇÕES DA IGREJA DO EVANGELHO QUADRANGULAR
XXXVIII) EMENDA Nº 19/2025 APOIO ÀS AÇÕES DA CONGREGAÇÃO CRISTÃ NO BRASIL
XXXIX) EMENDA Nº 19/2025 APOIO ÀS AÇÕES DO SEMEAR
XL) EMENDA Nº 20/2025 APOIO ÀS AÇÕES DA ASSOCIAÇÃO RECANTO SOCIAL BOM PASTOR
XLI) EMENDA Nº 20/2025 APOIO ÀS AÇÕES DO INSTITUTO INOVA (1)
XLII) EMENDA Nº 20/2025 APOIO ÀS AÇÕES DO INSTITUTO INOVA (2)
XLIII) EMENDA Nº 21/2025 APOIO ÀS AÇÕES DA AUG RESP LOJA SIMB LIBERTADORA ACREANA NÚMERO 4
XLIV) EMENDA Nº 21/2025 APOIO ÀS AÇÕES DA LOJA MACONICA CORONEL JOSÉ PLÁCIDO DE CASTRO
XLV) EMENDA Nº 21/2025 APOIO ÀS AÇÕES DA ORGANIZAÇÃO MÃOS QUE AJUDAM
XLVI) EMENDA Nº 21/2025 APOIO ÀS AÇÕES DO SUPREMO CENTRO ESPÍRITA BENEF.MESTRE GABRIEL T. SALOMAO A.ORD.MARCONICA ROSALUZ ESTRELA ORINT.UNIV.SOB.UNIÃO VEGETAL
XLVII) EMENDA Nº 24/2025 APOIO ÀS AÇÕES DA DIOCESE DE RIO BRANCO - PARÓQUIA IMACULADA CONCEIÇÃO
XLVIII) EMENDA Nº 24/2025 APOIO ÀS AÇÕES DO INSTITUTO INOVA</t>
  </si>
  <si>
    <t>I) R$ 100.000,00
II) R$ 50.000,00
III) R$ 80.000,00
IV) R$ 80.000,00 
V) R$ 180.000,00
VI) R$ 50.000,00
VII) R$ 170.000,00 
VIII) R$ 200.000,00 
IX) R$ 150.000,00
X) R$ 200.000,00
XI) R$ 100.000,00
XII) R$ 20.000,00
XIII) R$ 50.000,00
XIV) R$ 20.000,00
XV) R$ 20.000,00
XVI) R$ 30.000,00
XVII) R$ 1.300.000,00
XVIII) R$ 50.000,00
XIX) R$ 30.000,00
XX) R$ 170.000,00
XXI) R$ 20.000,00
XXII) R$ 20.000,00
XXIII) R$ 30.000,00
XXIV) R$ 100.000
XXV) R$ 50.000,00
XXVI) R$ 50.000,00
XXVII) R$ 50.000,00
XXVIII) R$ 70.000,00
XXIX) R$ 100.000,00
XXX) R$ 60.000,00
XXXI) R$ 60.000,00
XXXII) R$ 100.000,00
XXXIII) R$ 55.000,00
XXXIV) R$ 60.000,00
XXXV) R$ 150.000,00
XXXVI) R$ 100.000,00
XXXVII) R$ 70.000,00
XXXVIII) R$ 100.000,00
XXXIX) R$ 100.000,00
XL) R$ 70.000,00
XLI) R$ 1.300.000,00
XLII) R$ 1.200.000,00
XLIII) R$ 100.000,00
XLIV) R$ 50.000,00
XLV) R$ 20.000,00
XLVI) R$ 20.000,00
XLVII) R$ 40.000,00
XLVIII) R$ 200.000,00</t>
  </si>
  <si>
    <t>Os recursos não são exclusivos à pessoas e territórios mais expostas aos riscos climáticos</t>
  </si>
  <si>
    <t>SEASDH (Fundo de Assistência Social (FEAS))</t>
  </si>
  <si>
    <t>Computa somente programas: para povos indígenas; bolsa moradia transitória</t>
  </si>
  <si>
    <t xml:space="preserve">14 – Direitos da Cidadania </t>
  </si>
  <si>
    <t>Computa somente ações de direitos humanos geral</t>
  </si>
  <si>
    <t xml:space="preserve">PROCON (SEASDH) </t>
  </si>
  <si>
    <t>SEADH (Fundo Estadual de Defesa do Consumidor (FEDC))</t>
  </si>
  <si>
    <t>I) EMENDA Nº 09/2025 APOIO ÀS AÇÕES DA AGÊNCIA DE
DESENVOLVIMENTO SOCIAL DA AMAZÔNIA                                                                                                                                                                                                                     R$ 1.937.560,00 para ações de enfrentamento à violência contra mulher</t>
  </si>
  <si>
    <t>I) R$ 30.000,00</t>
  </si>
  <si>
    <t>R$ 7.511.899,00</t>
  </si>
  <si>
    <t xml:space="preserve">I) EMENDA Nº 04/2025 APOIO ÀS AÇÕES DA ASSOCIAÇÃO NUKU BEYA INU MAE RUAWA BAINA HUNI KUI DA PRAIA DO CARAPANA - BEYA
II) EMENDA Nº 09/2025 APOIO ÀS AÇÕES DA AGÊNCIA DE DESENVOLVIMENTO SOCIAL DA AMAZÔNIA
III) EMENDA Nº 16/2025 APOIO ÀS AÇÕES DA ASSOCIAÇÃO SOCIOCULTURAL E AMBIENTAL KUNTAMANA - ASCAK
IV) EMENDA Nº 17/2025 APOIO ÀS AÇÕES DA ASSOCIAÇÃO SOCIOCULTURAL E AMBIENTAL KUNTAMANA - ASCAK
V) EMENDA Nº 21/2025 APOIO ÀS AÇÕES DA ASSOCIAÇÃO AGROEXTRATIVISTA DO POVO SHAWADAWA DO IGARAPE HUMAITA - APSIH
VI) EMENDA Nº 21/2025 APOIO ÀS AÇÕES DA ASSOCIAÇÃO COMUNITÁRIA SHANINAWA DE MORADA NOVA
VII) EMENDA Nº 21/2025 APOIO ÀS AÇÕES DA ASSOCIAÇÃO DE EMPREENDEDORISMO E DESENVOLVIMENTO SUSTENTAVEL MULHERES DA TERRA
VIII) EMENDA Nº 21/2025 APOIO ÀS AÇÕES DA ASSOCIAÇÃO DOS SERINGUEIROS KAXINAWA DO RIO JORDÃO
IX) EMENDA Nº 21/2025 APOIO ÀS AÇÕES DA ASSOCIAÇÃO INDIGENA NUKINI
</t>
  </si>
  <si>
    <t>I) R$ 20.000,00
II) R$ 120.000,00
III) R$ 50.000,00
IV) R$ 50.000,00 
V) R$ 20.000,00
VI) R$ 20.000,00
VII) R$ 20.000,00 
VIII) R$ 20.000,00 
IX) R$ 30.000,00</t>
  </si>
  <si>
    <t>ITERACRE (SEHURB)</t>
  </si>
  <si>
    <t>I) EMENDA Nº 15/2025 APOIO ÀS AÇÕES DO
INSTITUTO DE TERRAS DO ACRE</t>
  </si>
  <si>
    <t>I) R$ 1.150.981,85</t>
  </si>
  <si>
    <t>Eixo V – Governança Ambiental e Transparência</t>
  </si>
  <si>
    <t xml:space="preserve">04 – Administração </t>
  </si>
  <si>
    <t>CGE</t>
  </si>
  <si>
    <t xml:space="preserve">Ouvidorias </t>
  </si>
  <si>
    <t>Os recursos atendem monitoramento e transparência genérico, não apenas ações ambientais/climáticas</t>
  </si>
  <si>
    <t>Ouvidorias (SEMA e SISA)</t>
  </si>
  <si>
    <t>Eixo VI – Educação Ambiental e Inovação Climática</t>
  </si>
  <si>
    <t xml:space="preserve">12 – Educação </t>
  </si>
  <si>
    <t xml:space="preserve">SEMA (Fundo Estadual de Comando e Cont. Ambiental) </t>
  </si>
  <si>
    <t>19 – Ciência e Tecnologia</t>
  </si>
  <si>
    <t>FAPAC</t>
  </si>
  <si>
    <t xml:space="preserve">19 – Ciência e Tecnologia </t>
  </si>
  <si>
    <t>SEICT (Fundo de Des. Sustentável (FDS))</t>
  </si>
  <si>
    <t>Eixo VII – Resposta Climática Emergencial e Proteção Civil</t>
  </si>
  <si>
    <t>Computa somente aluguel emergencial</t>
  </si>
  <si>
    <t>LOA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</si>
</sst>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"/>
    <numFmt numFmtId="165" formatCode="[$R$ -416]#,##0.00"/>
  </numFmts>
  <fonts count="13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b/>
      <sz val="11"/>
      <color theme="1"/>
      <name val="Calibri"/>
    </font>
    <font>
      <sz val="12"/>
      <color rgb="FF000000"/>
      <name val="Times New Roman"/>
    </font>
    <font>
      <sz val="12"/>
      <color theme="1"/>
      <name val="Times New Roman"/>
    </font>
    <font>
      <sz val="11"/>
      <color theme="1"/>
      <name val="Calibri"/>
    </font>
    <font>
      <sz val="11"/>
      <color theme="1"/>
      <name val="Times New Roman"/>
    </font>
    <font>
      <sz val="9"/>
      <color theme="1"/>
      <name val="Calibri"/>
    </font>
    <font>
      <sz val="8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00FFFF"/>
        <bgColor rgb="FF00FFFF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64" fontId="5" fillId="4" borderId="8" xfId="0" applyNumberFormat="1" applyFont="1" applyFill="1" applyBorder="1" applyAlignment="1">
      <alignment vertical="center"/>
    </xf>
    <xf numFmtId="0" fontId="6" fillId="7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4" fontId="5" fillId="5" borderId="8" xfId="0" applyNumberFormat="1" applyFont="1" applyFill="1" applyBorder="1" applyAlignment="1">
      <alignment vertical="center"/>
    </xf>
    <xf numFmtId="0" fontId="6" fillId="6" borderId="8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4" fontId="7" fillId="4" borderId="8" xfId="0" applyNumberFormat="1" applyFont="1" applyFill="1" applyBorder="1" applyAlignment="1">
      <alignment vertical="center"/>
    </xf>
    <xf numFmtId="164" fontId="7" fillId="6" borderId="8" xfId="0" applyNumberFormat="1" applyFont="1" applyFill="1" applyBorder="1" applyAlignment="1">
      <alignment vertical="center"/>
    </xf>
    <xf numFmtId="0" fontId="3" fillId="6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5" fontId="3" fillId="6" borderId="8" xfId="0" applyNumberFormat="1" applyFont="1" applyFill="1" applyBorder="1" applyAlignment="1">
      <alignment vertical="center" wrapText="1"/>
    </xf>
    <xf numFmtId="165" fontId="3" fillId="0" borderId="8" xfId="0" applyNumberFormat="1" applyFont="1" applyBorder="1" applyAlignment="1">
      <alignment vertical="center" wrapText="1"/>
    </xf>
    <xf numFmtId="164" fontId="7" fillId="5" borderId="8" xfId="0" applyNumberFormat="1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165" fontId="6" fillId="0" borderId="8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/>
    <xf numFmtId="0" fontId="6" fillId="0" borderId="0" xfId="0" applyFont="1"/>
    <xf numFmtId="0" fontId="6" fillId="4" borderId="8" xfId="0" applyFont="1" applyFill="1" applyBorder="1"/>
    <xf numFmtId="0" fontId="8" fillId="0" borderId="8" xfId="0" applyFont="1" applyBorder="1" applyAlignment="1">
      <alignment wrapText="1"/>
    </xf>
    <xf numFmtId="0" fontId="6" fillId="8" borderId="8" xfId="0" applyFont="1" applyFill="1" applyBorder="1" applyAlignment="1">
      <alignment horizontal="center" vertical="center"/>
    </xf>
    <xf numFmtId="0" fontId="6" fillId="2" borderId="8" xfId="0" applyFont="1" applyFill="1" applyBorder="1"/>
    <xf numFmtId="0" fontId="6" fillId="4" borderId="8" xfId="0" applyFont="1" applyFill="1" applyBorder="1" applyAlignment="1">
      <alignment vertical="center" wrapText="1"/>
    </xf>
    <xf numFmtId="165" fontId="6" fillId="4" borderId="8" xfId="0" applyNumberFormat="1" applyFont="1" applyFill="1" applyBorder="1"/>
    <xf numFmtId="165" fontId="6" fillId="0" borderId="8" xfId="0" applyNumberFormat="1" applyFont="1" applyBorder="1"/>
    <xf numFmtId="165" fontId="3" fillId="4" borderId="8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left" vertical="center" wrapText="1"/>
    </xf>
    <xf numFmtId="165" fontId="8" fillId="0" borderId="8" xfId="0" applyNumberFormat="1" applyFont="1" applyBorder="1" applyAlignment="1">
      <alignment vertical="center" wrapText="1"/>
    </xf>
    <xf numFmtId="0" fontId="6" fillId="3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165" fontId="6" fillId="3" borderId="8" xfId="0" applyNumberFormat="1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4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 wrapText="1"/>
    </xf>
    <xf numFmtId="164" fontId="7" fillId="3" borderId="8" xfId="0" applyNumberFormat="1" applyFont="1" applyFill="1" applyBorder="1" applyAlignment="1">
      <alignment vertical="center"/>
    </xf>
    <xf numFmtId="0" fontId="6" fillId="3" borderId="8" xfId="0" applyFont="1" applyFill="1" applyBorder="1"/>
    <xf numFmtId="165" fontId="6" fillId="0" borderId="0" xfId="0" applyNumberFormat="1" applyFont="1"/>
    <xf numFmtId="165" fontId="6" fillId="4" borderId="8" xfId="0" applyNumberFormat="1" applyFont="1" applyFill="1" applyBorder="1" applyAlignment="1">
      <alignment vertical="center"/>
    </xf>
    <xf numFmtId="0" fontId="9" fillId="6" borderId="8" xfId="0" applyFont="1" applyFill="1" applyBorder="1" applyAlignment="1">
      <alignment vertical="center" wrapText="1"/>
    </xf>
    <xf numFmtId="0" fontId="6" fillId="6" borderId="8" xfId="0" applyFont="1" applyFill="1" applyBorder="1"/>
    <xf numFmtId="0" fontId="10" fillId="6" borderId="8" xfId="0" applyFont="1" applyFill="1" applyBorder="1" applyAlignment="1">
      <alignment vertical="center" wrapText="1"/>
    </xf>
    <xf numFmtId="164" fontId="10" fillId="6" borderId="8" xfId="0" applyNumberFormat="1" applyFont="1" applyFill="1" applyBorder="1" applyAlignment="1">
      <alignment vertical="center" wrapText="1"/>
    </xf>
    <xf numFmtId="164" fontId="10" fillId="0" borderId="8" xfId="0" applyNumberFormat="1" applyFont="1" applyBorder="1" applyAlignment="1">
      <alignment vertical="center" wrapText="1"/>
    </xf>
    <xf numFmtId="164" fontId="6" fillId="6" borderId="8" xfId="0" applyNumberFormat="1" applyFont="1" applyFill="1" applyBorder="1"/>
    <xf numFmtId="0" fontId="5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11" fillId="0" borderId="0" xfId="0" applyNumberFormat="1" applyFont="1"/>
    <xf numFmtId="0" fontId="12" fillId="0" borderId="0" xfId="0" applyFont="1" applyAlignment="1">
      <alignment horizontal="center"/>
    </xf>
    <xf numFmtId="165" fontId="11" fillId="0" borderId="0" xfId="0" applyNumberFormat="1" applyFont="1"/>
    <xf numFmtId="165" fontId="1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1" fillId="3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0" fillId="0" borderId="0" xfId="0"/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</cellXfs>
  <cellStyles count="1">
    <cellStyle name="Normal" xfId="0" builtinId="0"/>
  </cellStyles>
  <dxfs count="2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QDD - ORÇAMENTO CLIMÁTICO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QDD - ORÇAMENTO CLIMÁTICO-style 2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QDD - ORÇAMENTO CLIMÁTICO-style 3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QDD - ORÇAMENTO CLIMÁTICO-style 4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QDD - ORÇAMENTO CLIMÁTICO-style 5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QDD - ORÇAMENTO CLIMÁTICO-style 6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QDD - ORÇAMENTO CLIMÁTICO-style 7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6:L24">
  <tableColumns count="12">
    <tableColumn id="1" xr3:uid="{00000000-0010-0000-0000-000001000000}" name="Eixo"/>
    <tableColumn id="2" xr3:uid="{00000000-0010-0000-0000-000002000000}" name="Função"/>
    <tableColumn id="3" xr3:uid="{00000000-0010-0000-0000-000003000000}" name="Subfunção"/>
    <tableColumn id="4" xr3:uid="{00000000-0010-0000-0000-000004000000}" name="Órgão"/>
    <tableColumn id="5" xr3:uid="{00000000-0010-0000-0000-000005000000}" name="Dotação"/>
    <tableColumn id="6" xr3:uid="{00000000-0010-0000-0000-000006000000}" name="Observações (Detalhamento)"/>
    <tableColumn id="7" xr3:uid="{00000000-0010-0000-0000-000007000000}" name="Valores - Emendas"/>
    <tableColumn id="8" xr3:uid="{00000000-0010-0000-0000-000008000000}" name="Classificação do Gasto"/>
    <tableColumn id="9" xr3:uid="{00000000-0010-0000-0000-000009000000}" name="Justificativa (ponderação em caso de gasto não-exclusivo)"/>
    <tableColumn id="10" xr3:uid="{00000000-0010-0000-0000-00000A000000}" name="Total Geral da Dotação"/>
    <tableColumn id="11" xr3:uid="{00000000-0010-0000-0000-00000B000000}" name="Classificação do Gasto 2"/>
    <tableColumn id="12" xr3:uid="{00000000-0010-0000-0000-00000C000000}" name="Dotação "/>
  </tableColumns>
  <tableStyleInfo name="QDD - ORÇAMENTO CLIMÁTIC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2" displayName="Tabela_2" ref="A26:L26" headerRowCount="0">
  <tableColumns count="1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</tableColumns>
  <tableStyleInfo name="QDD - ORÇAMENTO CLIMÁTICO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3" displayName="Tabela_3" ref="A52:L52" headerRowCount="0">
  <tableColumns count="12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</tableColumns>
  <tableStyleInfo name="QDD - ORÇAMENTO CLIMÁTICO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4" displayName="Tabela_4" ref="A115:L115" headerRowCount="0">
  <tableColumns count="12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</tableColumns>
  <tableStyleInfo name="QDD - ORÇAMENTO CLIMÁTICO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5" displayName="Tabela_5" ref="A129:L129" headerRowCount="0">
  <tableColumns count="1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</tableColumns>
  <tableStyleInfo name="QDD - ORÇAMENTO CLIMÁTICO-style 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6" displayName="Tabela_6" ref="A136:L136" headerRowCount="0">
  <tableColumns count="12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</tableColumns>
  <tableStyleInfo name="QDD - ORÇAMENTO CLIMÁTICO-style 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_7" displayName="Tabela_7" ref="A149:L149" headerRowCount="0">
  <tableColumns count="12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</tableColumns>
  <tableStyleInfo name="QDD - ORÇAMENTO CLIMÁTICO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4"/>
  <sheetViews>
    <sheetView tabSelected="1" topLeftCell="A127" workbookViewId="0">
      <selection sqref="A1:G1"/>
    </sheetView>
  </sheetViews>
  <sheetFormatPr defaultColWidth="14.42578125" defaultRowHeight="15" customHeight="1"/>
  <cols>
    <col min="1" max="1" width="30.7109375" customWidth="1"/>
    <col min="2" max="2" width="22.42578125" customWidth="1"/>
    <col min="3" max="3" width="30.140625" customWidth="1"/>
    <col min="4" max="4" width="26" customWidth="1"/>
    <col min="5" max="5" width="16.42578125" customWidth="1"/>
    <col min="6" max="6" width="13.140625" customWidth="1"/>
    <col min="7" max="7" width="19.28515625" customWidth="1"/>
    <col min="8" max="8" width="21.85546875" customWidth="1"/>
    <col min="9" max="9" width="18.7109375" customWidth="1"/>
    <col min="10" max="10" width="29.28515625" customWidth="1"/>
    <col min="11" max="12" width="21.85546875" customWidth="1"/>
    <col min="13" max="30" width="8.7109375" customWidth="1"/>
  </cols>
  <sheetData>
    <row r="1" spans="1:12" ht="15.75">
      <c r="A1" s="72" t="s">
        <v>0</v>
      </c>
      <c r="B1" s="73"/>
      <c r="C1" s="73"/>
      <c r="D1" s="73"/>
      <c r="E1" s="73"/>
      <c r="F1" s="73"/>
      <c r="G1" s="73"/>
      <c r="H1" s="74" t="s">
        <v>1</v>
      </c>
      <c r="I1" s="75"/>
      <c r="J1" s="1"/>
      <c r="K1" s="76" t="s">
        <v>2</v>
      </c>
      <c r="L1" s="73"/>
    </row>
    <row r="2" spans="1:12" ht="45" customHeight="1">
      <c r="A2" s="77" t="s">
        <v>3</v>
      </c>
      <c r="B2" s="80" t="s">
        <v>4</v>
      </c>
      <c r="C2" s="81" t="s">
        <v>5</v>
      </c>
      <c r="D2" s="82" t="s">
        <v>6</v>
      </c>
      <c r="E2" s="83"/>
      <c r="F2" s="83"/>
      <c r="G2" s="84"/>
      <c r="H2" s="2"/>
      <c r="I2" s="2"/>
      <c r="J2" s="3"/>
      <c r="K2" s="2"/>
      <c r="L2" s="3"/>
    </row>
    <row r="3" spans="1:12">
      <c r="A3" s="78"/>
      <c r="B3" s="78"/>
      <c r="C3" s="78"/>
      <c r="D3" s="85"/>
      <c r="E3" s="86"/>
      <c r="F3" s="86"/>
      <c r="G3" s="87"/>
      <c r="H3" s="2"/>
      <c r="I3" s="2"/>
      <c r="J3" s="3"/>
      <c r="K3" s="2"/>
      <c r="L3" s="3"/>
    </row>
    <row r="4" spans="1:12">
      <c r="A4" s="78"/>
      <c r="B4" s="78"/>
      <c r="C4" s="78"/>
      <c r="D4" s="85"/>
      <c r="E4" s="86"/>
      <c r="F4" s="86"/>
      <c r="G4" s="87"/>
      <c r="H4" s="2"/>
      <c r="I4" s="2"/>
      <c r="J4" s="3"/>
      <c r="K4" s="2"/>
      <c r="L4" s="3"/>
    </row>
    <row r="5" spans="1:12">
      <c r="A5" s="79"/>
      <c r="B5" s="79"/>
      <c r="C5" s="79"/>
      <c r="D5" s="88"/>
      <c r="E5" s="89"/>
      <c r="F5" s="89"/>
      <c r="G5" s="90"/>
      <c r="H5" s="2"/>
      <c r="I5" s="2"/>
      <c r="J5" s="3"/>
      <c r="K5" s="2"/>
      <c r="L5" s="3"/>
    </row>
    <row r="6" spans="1:12" ht="22.5" customHeight="1">
      <c r="A6" s="4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</row>
    <row r="7" spans="1:12" ht="22.5" customHeight="1">
      <c r="A7" s="6" t="s">
        <v>19</v>
      </c>
      <c r="B7" s="6" t="s">
        <v>20</v>
      </c>
      <c r="C7" s="7">
        <v>541</v>
      </c>
      <c r="D7" s="8" t="s">
        <v>21</v>
      </c>
      <c r="E7" s="9">
        <v>5804910.7999999998</v>
      </c>
      <c r="F7" s="10" t="s">
        <v>22</v>
      </c>
      <c r="G7" s="11"/>
      <c r="H7" s="12" t="s">
        <v>23</v>
      </c>
      <c r="I7" s="12"/>
      <c r="J7" s="13">
        <v>1574074171.74</v>
      </c>
      <c r="K7" s="12"/>
      <c r="L7" s="9"/>
    </row>
    <row r="8" spans="1:12" ht="22.5" customHeight="1">
      <c r="A8" s="6" t="s">
        <v>19</v>
      </c>
      <c r="B8" s="6" t="s">
        <v>20</v>
      </c>
      <c r="C8" s="7">
        <v>541</v>
      </c>
      <c r="D8" s="8" t="s">
        <v>24</v>
      </c>
      <c r="E8" s="9">
        <v>804910.8</v>
      </c>
      <c r="F8" s="11"/>
      <c r="G8" s="11"/>
      <c r="H8" s="12" t="s">
        <v>23</v>
      </c>
      <c r="I8" s="12"/>
      <c r="J8" s="13">
        <v>1362816</v>
      </c>
      <c r="K8" s="12"/>
      <c r="L8" s="9"/>
    </row>
    <row r="9" spans="1:12" ht="22.5" customHeight="1">
      <c r="A9" s="6" t="s">
        <v>19</v>
      </c>
      <c r="B9" s="6" t="s">
        <v>20</v>
      </c>
      <c r="C9" s="7">
        <v>541</v>
      </c>
      <c r="D9" s="8" t="s">
        <v>25</v>
      </c>
      <c r="E9" s="14">
        <v>4036000</v>
      </c>
      <c r="F9" s="15" t="s">
        <v>26</v>
      </c>
      <c r="G9" s="16" t="s">
        <v>27</v>
      </c>
      <c r="H9" s="12" t="s">
        <v>23</v>
      </c>
      <c r="I9" s="17"/>
      <c r="J9" s="18">
        <v>16699154.369999999</v>
      </c>
      <c r="K9" s="12"/>
      <c r="L9" s="9"/>
    </row>
    <row r="10" spans="1:12" ht="22.5" customHeight="1">
      <c r="A10" s="6" t="s">
        <v>19</v>
      </c>
      <c r="B10" s="6" t="s">
        <v>20</v>
      </c>
      <c r="C10" s="7">
        <v>541</v>
      </c>
      <c r="D10" s="8" t="s">
        <v>28</v>
      </c>
      <c r="E10" s="19">
        <v>1000</v>
      </c>
      <c r="F10" s="11" t="s">
        <v>29</v>
      </c>
      <c r="G10" s="11"/>
      <c r="H10" s="12" t="s">
        <v>23</v>
      </c>
      <c r="I10" s="12"/>
      <c r="J10" s="13">
        <v>3000</v>
      </c>
      <c r="K10" s="12"/>
      <c r="L10" s="9"/>
    </row>
    <row r="11" spans="1:12" ht="22.5" customHeight="1">
      <c r="A11" s="6" t="s">
        <v>19</v>
      </c>
      <c r="B11" s="6" t="s">
        <v>20</v>
      </c>
      <c r="C11" s="7">
        <v>543</v>
      </c>
      <c r="D11" s="8" t="s">
        <v>25</v>
      </c>
      <c r="E11" s="20">
        <v>430000</v>
      </c>
      <c r="F11" s="16" t="s">
        <v>30</v>
      </c>
      <c r="G11" s="21" t="s">
        <v>31</v>
      </c>
      <c r="H11" s="12" t="s">
        <v>23</v>
      </c>
      <c r="I11" s="22"/>
      <c r="J11" s="23"/>
      <c r="K11" s="12"/>
      <c r="L11" s="9"/>
    </row>
    <row r="12" spans="1:12" ht="22.5" customHeight="1">
      <c r="A12" s="6" t="s">
        <v>19</v>
      </c>
      <c r="B12" s="6" t="s">
        <v>32</v>
      </c>
      <c r="C12" s="7">
        <v>605</v>
      </c>
      <c r="D12" s="8" t="s">
        <v>33</v>
      </c>
      <c r="E12" s="19">
        <v>6000000</v>
      </c>
      <c r="F12" s="10" t="s">
        <v>34</v>
      </c>
      <c r="G12" s="24"/>
      <c r="H12" s="12" t="s">
        <v>23</v>
      </c>
      <c r="I12" s="25"/>
      <c r="J12" s="13">
        <v>114904200</v>
      </c>
      <c r="K12" s="12"/>
      <c r="L12" s="9"/>
    </row>
    <row r="13" spans="1:12" ht="22.5" customHeight="1">
      <c r="A13" s="6" t="s">
        <v>19</v>
      </c>
      <c r="B13" s="6" t="s">
        <v>32</v>
      </c>
      <c r="C13" s="7">
        <v>605</v>
      </c>
      <c r="D13" s="8" t="s">
        <v>35</v>
      </c>
      <c r="E13" s="19">
        <v>1220809.49</v>
      </c>
      <c r="F13" s="16"/>
      <c r="G13" s="24"/>
      <c r="H13" s="12" t="s">
        <v>23</v>
      </c>
      <c r="I13" s="25"/>
      <c r="J13" s="18">
        <v>16108850.630000001</v>
      </c>
      <c r="K13" s="12"/>
      <c r="L13" s="9"/>
    </row>
    <row r="14" spans="1:12" ht="22.5" customHeight="1">
      <c r="A14" s="6" t="s">
        <v>19</v>
      </c>
      <c r="B14" s="6" t="s">
        <v>32</v>
      </c>
      <c r="C14" s="7">
        <v>606</v>
      </c>
      <c r="D14" s="8" t="s">
        <v>33</v>
      </c>
      <c r="E14" s="26">
        <v>3391000</v>
      </c>
      <c r="F14" s="16" t="s">
        <v>36</v>
      </c>
      <c r="G14" s="21" t="s">
        <v>37</v>
      </c>
      <c r="H14" s="12" t="s">
        <v>23</v>
      </c>
      <c r="I14" s="22"/>
      <c r="J14" s="23"/>
      <c r="K14" s="12"/>
      <c r="L14" s="9"/>
    </row>
    <row r="15" spans="1:12" ht="22.5" customHeight="1">
      <c r="A15" s="6" t="s">
        <v>19</v>
      </c>
      <c r="B15" s="6" t="s">
        <v>32</v>
      </c>
      <c r="C15" s="7">
        <v>606</v>
      </c>
      <c r="D15" s="8" t="s">
        <v>38</v>
      </c>
      <c r="E15" s="19">
        <f>23538288.76-21095517.31</f>
        <v>2442771.450000003</v>
      </c>
      <c r="F15" s="27" t="s">
        <v>39</v>
      </c>
      <c r="G15" s="11"/>
      <c r="H15" s="12" t="s">
        <v>23</v>
      </c>
      <c r="I15" s="12"/>
      <c r="J15" s="13">
        <v>26420522.82</v>
      </c>
      <c r="K15" s="12"/>
      <c r="L15" s="9"/>
    </row>
    <row r="16" spans="1:12" ht="22.5" customHeight="1">
      <c r="A16" s="6" t="s">
        <v>19</v>
      </c>
      <c r="B16" s="6" t="s">
        <v>32</v>
      </c>
      <c r="C16" s="7">
        <v>608</v>
      </c>
      <c r="D16" s="8" t="s">
        <v>33</v>
      </c>
      <c r="E16" s="19">
        <f>94804200-2000000</f>
        <v>92804200</v>
      </c>
      <c r="F16" s="11"/>
      <c r="G16" s="11"/>
      <c r="H16" s="12" t="s">
        <v>23</v>
      </c>
      <c r="I16" s="12"/>
      <c r="J16" s="13"/>
      <c r="K16" s="12"/>
      <c r="L16" s="9"/>
    </row>
    <row r="17" spans="1:12" ht="22.5" customHeight="1">
      <c r="A17" s="6" t="s">
        <v>19</v>
      </c>
      <c r="B17" s="6" t="s">
        <v>32</v>
      </c>
      <c r="C17" s="7">
        <v>608</v>
      </c>
      <c r="D17" s="8" t="s">
        <v>40</v>
      </c>
      <c r="E17" s="19">
        <v>2000000</v>
      </c>
      <c r="F17" s="11"/>
      <c r="G17" s="11"/>
      <c r="H17" s="12" t="s">
        <v>23</v>
      </c>
      <c r="I17" s="12"/>
      <c r="J17" s="13">
        <v>2001000</v>
      </c>
      <c r="K17" s="12"/>
      <c r="L17" s="9"/>
    </row>
    <row r="18" spans="1:12" ht="22.5" customHeight="1">
      <c r="A18" s="6" t="s">
        <v>19</v>
      </c>
      <c r="B18" s="6" t="s">
        <v>41</v>
      </c>
      <c r="C18" s="7">
        <v>122</v>
      </c>
      <c r="D18" s="8" t="s">
        <v>42</v>
      </c>
      <c r="E18" s="19">
        <v>3890000</v>
      </c>
      <c r="F18" s="11"/>
      <c r="G18" s="11"/>
      <c r="H18" s="12" t="s">
        <v>23</v>
      </c>
      <c r="I18" s="12"/>
      <c r="J18" s="13">
        <v>8500000</v>
      </c>
      <c r="K18" s="12"/>
      <c r="L18" s="9"/>
    </row>
    <row r="19" spans="1:12" ht="22.5" customHeight="1">
      <c r="A19" s="6" t="s">
        <v>19</v>
      </c>
      <c r="B19" s="6" t="s">
        <v>43</v>
      </c>
      <c r="C19" s="7">
        <v>691</v>
      </c>
      <c r="D19" s="8" t="s">
        <v>44</v>
      </c>
      <c r="E19" s="19">
        <v>1361000</v>
      </c>
      <c r="F19" s="28"/>
      <c r="G19" s="28"/>
      <c r="H19" s="12" t="s">
        <v>45</v>
      </c>
      <c r="I19" s="29" t="s">
        <v>46</v>
      </c>
      <c r="J19" s="13">
        <v>7520000</v>
      </c>
      <c r="K19" s="12"/>
      <c r="L19" s="9"/>
    </row>
    <row r="20" spans="1:12" ht="22.5" customHeight="1">
      <c r="A20" s="6" t="s">
        <v>19</v>
      </c>
      <c r="B20" s="6" t="s">
        <v>43</v>
      </c>
      <c r="C20" s="7">
        <v>691</v>
      </c>
      <c r="D20" s="8" t="s">
        <v>47</v>
      </c>
      <c r="E20" s="20">
        <v>330000</v>
      </c>
      <c r="F20" s="16" t="s">
        <v>48</v>
      </c>
      <c r="G20" s="16" t="s">
        <v>49</v>
      </c>
      <c r="H20" s="12" t="s">
        <v>23</v>
      </c>
      <c r="I20" s="17"/>
      <c r="J20" s="18">
        <v>14588279.119999999</v>
      </c>
      <c r="K20" s="12"/>
      <c r="L20" s="9"/>
    </row>
    <row r="21" spans="1:12" ht="22.5" customHeight="1">
      <c r="A21" s="6" t="s">
        <v>19</v>
      </c>
      <c r="B21" s="6" t="s">
        <v>43</v>
      </c>
      <c r="C21" s="7">
        <v>691</v>
      </c>
      <c r="D21" s="8" t="s">
        <v>50</v>
      </c>
      <c r="E21" s="26">
        <v>1315393.95</v>
      </c>
      <c r="F21" s="16" t="s">
        <v>51</v>
      </c>
      <c r="G21" s="16" t="s">
        <v>52</v>
      </c>
      <c r="H21" s="12" t="s">
        <v>23</v>
      </c>
      <c r="I21" s="17"/>
      <c r="J21" s="18"/>
      <c r="K21" s="12"/>
      <c r="L21" s="9"/>
    </row>
    <row r="22" spans="1:12" ht="22.5" customHeight="1">
      <c r="A22" s="6" t="s">
        <v>19</v>
      </c>
      <c r="B22" s="6" t="s">
        <v>43</v>
      </c>
      <c r="C22" s="7">
        <v>691</v>
      </c>
      <c r="D22" s="8" t="s">
        <v>53</v>
      </c>
      <c r="E22" s="19">
        <f>7501000-6115071.3</f>
        <v>1385928.7000000002</v>
      </c>
      <c r="F22" s="27" t="s">
        <v>54</v>
      </c>
      <c r="G22" s="28"/>
      <c r="H22" s="12" t="s">
        <v>23</v>
      </c>
      <c r="I22" s="12"/>
      <c r="J22" s="13">
        <v>7501000</v>
      </c>
      <c r="K22" s="12"/>
      <c r="L22" s="9"/>
    </row>
    <row r="23" spans="1:12" ht="15.75" customHeight="1">
      <c r="A23" s="6" t="s">
        <v>19</v>
      </c>
      <c r="B23" s="6" t="s">
        <v>43</v>
      </c>
      <c r="C23" s="7">
        <v>691</v>
      </c>
      <c r="D23" s="8" t="s">
        <v>55</v>
      </c>
      <c r="E23" s="19">
        <v>1090000</v>
      </c>
      <c r="F23" s="28"/>
      <c r="G23" s="28"/>
      <c r="H23" s="12" t="s">
        <v>45</v>
      </c>
      <c r="I23" s="29" t="s">
        <v>56</v>
      </c>
      <c r="J23" s="30">
        <v>6000000</v>
      </c>
      <c r="K23" s="12"/>
      <c r="L23" s="9"/>
    </row>
    <row r="24" spans="1:12" ht="15.75" customHeight="1">
      <c r="A24" s="6"/>
      <c r="B24" s="6"/>
      <c r="C24" s="7"/>
      <c r="D24" s="8"/>
      <c r="E24" s="19"/>
      <c r="F24" s="28"/>
      <c r="G24" s="13"/>
      <c r="H24" s="12"/>
      <c r="I24" s="31"/>
      <c r="J24" s="13"/>
      <c r="K24" s="12"/>
      <c r="L24" s="31"/>
    </row>
    <row r="25" spans="1:12" ht="15.75" customHeight="1">
      <c r="A25" s="32"/>
      <c r="B25" s="32"/>
      <c r="C25" s="33"/>
      <c r="D25" s="33"/>
      <c r="E25" s="34"/>
      <c r="F25" s="35"/>
      <c r="G25" s="36"/>
      <c r="H25" s="36"/>
      <c r="I25" s="37"/>
      <c r="J25" s="37"/>
      <c r="K25" s="36"/>
      <c r="L25" s="37"/>
    </row>
    <row r="26" spans="1:12" ht="15.75" customHeight="1">
      <c r="A26" s="4" t="s">
        <v>7</v>
      </c>
      <c r="B26" s="5" t="s">
        <v>8</v>
      </c>
      <c r="C26" s="5" t="s">
        <v>9</v>
      </c>
      <c r="D26" s="5" t="s">
        <v>10</v>
      </c>
      <c r="E26" s="5" t="s">
        <v>11</v>
      </c>
      <c r="F26" s="5" t="s">
        <v>12</v>
      </c>
      <c r="G26" s="5" t="s">
        <v>13</v>
      </c>
      <c r="H26" s="4" t="s">
        <v>14</v>
      </c>
      <c r="I26" s="4" t="s">
        <v>15</v>
      </c>
      <c r="J26" s="4" t="s">
        <v>16</v>
      </c>
      <c r="K26" s="4" t="s">
        <v>14</v>
      </c>
      <c r="L26" s="4" t="s">
        <v>57</v>
      </c>
    </row>
    <row r="27" spans="1:12" ht="15.75" customHeight="1">
      <c r="A27" s="6" t="s">
        <v>58</v>
      </c>
      <c r="B27" s="6" t="s">
        <v>59</v>
      </c>
      <c r="C27" s="7">
        <v>121</v>
      </c>
      <c r="D27" s="8" t="s">
        <v>60</v>
      </c>
      <c r="E27" s="19">
        <v>237263436.19999999</v>
      </c>
      <c r="F27" s="28"/>
      <c r="G27" s="38"/>
      <c r="H27" s="12" t="s">
        <v>45</v>
      </c>
      <c r="I27" s="39" t="s">
        <v>61</v>
      </c>
      <c r="J27" s="30">
        <v>362371923.19999999</v>
      </c>
      <c r="K27" s="12"/>
      <c r="L27" s="9"/>
    </row>
    <row r="28" spans="1:12" ht="15.75" customHeight="1">
      <c r="A28" s="6" t="s">
        <v>58</v>
      </c>
      <c r="B28" s="6" t="s">
        <v>62</v>
      </c>
      <c r="C28" s="7">
        <v>122</v>
      </c>
      <c r="D28" s="8" t="s">
        <v>60</v>
      </c>
      <c r="E28" s="19">
        <f>607603.03+1738900</f>
        <v>2346503.0300000003</v>
      </c>
      <c r="F28" s="40"/>
      <c r="G28" s="41"/>
      <c r="H28" s="12" t="s">
        <v>45</v>
      </c>
      <c r="I28" s="39" t="s">
        <v>63</v>
      </c>
      <c r="J28" s="12"/>
      <c r="K28" s="12"/>
      <c r="L28" s="9"/>
    </row>
    <row r="29" spans="1:12" ht="15.75" customHeight="1">
      <c r="A29" s="6" t="s">
        <v>58</v>
      </c>
      <c r="B29" s="6" t="s">
        <v>62</v>
      </c>
      <c r="C29" s="7">
        <v>752</v>
      </c>
      <c r="D29" s="8" t="s">
        <v>60</v>
      </c>
      <c r="E29" s="19">
        <v>1000</v>
      </c>
      <c r="F29" s="42" t="s">
        <v>64</v>
      </c>
      <c r="G29" s="43"/>
      <c r="H29" s="12" t="s">
        <v>23</v>
      </c>
      <c r="I29" s="44"/>
      <c r="J29" s="30"/>
      <c r="K29" s="12"/>
      <c r="L29" s="9"/>
    </row>
    <row r="30" spans="1:12" ht="15.75" customHeight="1">
      <c r="A30" s="6" t="s">
        <v>58</v>
      </c>
      <c r="B30" s="6" t="s">
        <v>62</v>
      </c>
      <c r="C30" s="7">
        <v>752</v>
      </c>
      <c r="D30" s="8" t="s">
        <v>65</v>
      </c>
      <c r="E30" s="19">
        <v>1000</v>
      </c>
      <c r="F30" s="42" t="s">
        <v>64</v>
      </c>
      <c r="G30" s="43"/>
      <c r="H30" s="12" t="s">
        <v>23</v>
      </c>
      <c r="I30" s="44"/>
      <c r="J30" s="30"/>
      <c r="K30" s="12"/>
      <c r="L30" s="9"/>
    </row>
    <row r="31" spans="1:12" ht="15.75" customHeight="1">
      <c r="A31" s="6" t="s">
        <v>58</v>
      </c>
      <c r="B31" s="6" t="s">
        <v>62</v>
      </c>
      <c r="C31" s="7">
        <v>752</v>
      </c>
      <c r="D31" s="8" t="s">
        <v>66</v>
      </c>
      <c r="E31" s="19">
        <v>1000</v>
      </c>
      <c r="F31" s="42" t="s">
        <v>64</v>
      </c>
      <c r="G31" s="43"/>
      <c r="H31" s="12" t="s">
        <v>23</v>
      </c>
      <c r="I31" s="44"/>
      <c r="J31" s="30"/>
      <c r="K31" s="12"/>
      <c r="L31" s="9"/>
    </row>
    <row r="32" spans="1:12" ht="15.75" customHeight="1">
      <c r="A32" s="6" t="s">
        <v>58</v>
      </c>
      <c r="B32" s="6" t="s">
        <v>67</v>
      </c>
      <c r="C32" s="8">
        <v>542</v>
      </c>
      <c r="D32" s="8" t="s">
        <v>68</v>
      </c>
      <c r="E32" s="19">
        <v>1198684.01</v>
      </c>
      <c r="F32" s="42" t="s">
        <v>69</v>
      </c>
      <c r="G32" s="43"/>
      <c r="H32" s="12" t="s">
        <v>23</v>
      </c>
      <c r="I32" s="44"/>
      <c r="J32" s="30"/>
      <c r="K32" s="12"/>
      <c r="L32" s="9"/>
    </row>
    <row r="33" spans="1:12" ht="15.75" customHeight="1">
      <c r="A33" s="6" t="s">
        <v>58</v>
      </c>
      <c r="B33" s="6" t="s">
        <v>67</v>
      </c>
      <c r="C33" s="8">
        <v>542</v>
      </c>
      <c r="D33" s="8" t="s">
        <v>70</v>
      </c>
      <c r="E33" s="19">
        <v>1000</v>
      </c>
      <c r="F33" s="42" t="s">
        <v>69</v>
      </c>
      <c r="G33" s="43"/>
      <c r="H33" s="12" t="s">
        <v>23</v>
      </c>
      <c r="I33" s="44"/>
      <c r="J33" s="30">
        <f>56229691.52+1000+305000</f>
        <v>56535691.520000003</v>
      </c>
      <c r="K33" s="12"/>
      <c r="L33" s="9"/>
    </row>
    <row r="34" spans="1:12" ht="15.75" customHeight="1">
      <c r="A34" s="6" t="s">
        <v>58</v>
      </c>
      <c r="B34" s="6" t="s">
        <v>71</v>
      </c>
      <c r="C34" s="8">
        <v>512</v>
      </c>
      <c r="D34" s="8" t="s">
        <v>72</v>
      </c>
      <c r="E34" s="19">
        <v>31000</v>
      </c>
      <c r="F34" s="42" t="s">
        <v>73</v>
      </c>
      <c r="G34" s="38"/>
      <c r="H34" s="12" t="s">
        <v>23</v>
      </c>
      <c r="I34" s="44"/>
      <c r="J34" s="30"/>
      <c r="K34" s="12"/>
      <c r="L34" s="9"/>
    </row>
    <row r="35" spans="1:12" ht="15.75" customHeight="1">
      <c r="A35" s="6" t="s">
        <v>58</v>
      </c>
      <c r="B35" s="6" t="s">
        <v>71</v>
      </c>
      <c r="C35" s="8">
        <v>752</v>
      </c>
      <c r="D35" s="8" t="s">
        <v>72</v>
      </c>
      <c r="E35" s="19">
        <v>1000</v>
      </c>
      <c r="F35" s="42" t="s">
        <v>64</v>
      </c>
      <c r="G35" s="38"/>
      <c r="H35" s="12" t="s">
        <v>23</v>
      </c>
      <c r="I35" s="44"/>
      <c r="J35" s="30"/>
      <c r="K35" s="12"/>
      <c r="L35" s="9"/>
    </row>
    <row r="36" spans="1:12" ht="15.75" customHeight="1">
      <c r="A36" s="6" t="s">
        <v>58</v>
      </c>
      <c r="B36" s="6" t="s">
        <v>74</v>
      </c>
      <c r="C36" s="8">
        <v>122</v>
      </c>
      <c r="D36" s="8" t="s">
        <v>25</v>
      </c>
      <c r="E36" s="19">
        <v>2102764.37</v>
      </c>
      <c r="F36" s="45"/>
      <c r="G36" s="38"/>
      <c r="H36" s="12" t="s">
        <v>23</v>
      </c>
      <c r="I36" s="44"/>
      <c r="J36" s="30">
        <v>16699154.369999999</v>
      </c>
      <c r="K36" s="12"/>
      <c r="L36" s="9"/>
    </row>
    <row r="37" spans="1:12" ht="15.75" customHeight="1">
      <c r="A37" s="6" t="s">
        <v>58</v>
      </c>
      <c r="B37" s="6" t="s">
        <v>74</v>
      </c>
      <c r="C37" s="8">
        <v>122</v>
      </c>
      <c r="D37" s="8" t="s">
        <v>75</v>
      </c>
      <c r="E37" s="19">
        <v>5001200</v>
      </c>
      <c r="F37" s="46"/>
      <c r="G37" s="38"/>
      <c r="H37" s="12" t="s">
        <v>23</v>
      </c>
      <c r="I37" s="36"/>
      <c r="J37" s="30">
        <v>5004200</v>
      </c>
      <c r="K37" s="12"/>
      <c r="L37" s="9"/>
    </row>
    <row r="38" spans="1:12" ht="15.75" customHeight="1">
      <c r="A38" s="6" t="s">
        <v>58</v>
      </c>
      <c r="B38" s="6" t="s">
        <v>74</v>
      </c>
      <c r="C38" s="8">
        <v>122</v>
      </c>
      <c r="D38" s="8" t="s">
        <v>28</v>
      </c>
      <c r="E38" s="19">
        <v>1000</v>
      </c>
      <c r="F38" s="11"/>
      <c r="G38" s="41"/>
      <c r="H38" s="12" t="s">
        <v>23</v>
      </c>
      <c r="I38" s="36"/>
      <c r="J38" s="30">
        <v>3000</v>
      </c>
      <c r="K38" s="12"/>
      <c r="L38" s="9"/>
    </row>
    <row r="39" spans="1:12" ht="15.75" customHeight="1">
      <c r="A39" s="6" t="s">
        <v>58</v>
      </c>
      <c r="B39" s="6" t="s">
        <v>74</v>
      </c>
      <c r="C39" s="8">
        <v>122</v>
      </c>
      <c r="D39" s="8" t="s">
        <v>76</v>
      </c>
      <c r="E39" s="19">
        <v>1698810.85</v>
      </c>
      <c r="F39" s="11"/>
      <c r="G39" s="41"/>
      <c r="H39" s="12" t="s">
        <v>23</v>
      </c>
      <c r="I39" s="36"/>
      <c r="J39" s="30"/>
      <c r="K39" s="12"/>
      <c r="L39" s="9"/>
    </row>
    <row r="40" spans="1:12" ht="15.75" customHeight="1">
      <c r="A40" s="6" t="s">
        <v>58</v>
      </c>
      <c r="B40" s="6" t="s">
        <v>74</v>
      </c>
      <c r="C40" s="8">
        <v>122</v>
      </c>
      <c r="D40" s="8" t="s">
        <v>77</v>
      </c>
      <c r="E40" s="19">
        <v>262000</v>
      </c>
      <c r="F40" s="11"/>
      <c r="G40" s="41"/>
      <c r="H40" s="12" t="s">
        <v>23</v>
      </c>
      <c r="I40" s="36"/>
      <c r="J40" s="30"/>
      <c r="K40" s="12"/>
      <c r="L40" s="9"/>
    </row>
    <row r="41" spans="1:12" ht="15.75" customHeight="1">
      <c r="A41" s="6" t="s">
        <v>58</v>
      </c>
      <c r="B41" s="6" t="s">
        <v>74</v>
      </c>
      <c r="C41" s="8">
        <v>541</v>
      </c>
      <c r="D41" s="8" t="s">
        <v>77</v>
      </c>
      <c r="E41" s="19">
        <v>8000</v>
      </c>
      <c r="F41" s="11"/>
      <c r="G41" s="41"/>
      <c r="H41" s="12" t="s">
        <v>23</v>
      </c>
      <c r="I41" s="36"/>
      <c r="J41" s="30">
        <v>275000</v>
      </c>
      <c r="K41" s="12"/>
      <c r="L41" s="9"/>
    </row>
    <row r="42" spans="1:12" ht="15.75" customHeight="1">
      <c r="A42" s="6" t="s">
        <v>58</v>
      </c>
      <c r="B42" s="6" t="s">
        <v>74</v>
      </c>
      <c r="C42" s="8">
        <v>542</v>
      </c>
      <c r="D42" s="8" t="s">
        <v>25</v>
      </c>
      <c r="E42" s="19">
        <v>10500390</v>
      </c>
      <c r="F42" s="45"/>
      <c r="G42" s="38"/>
      <c r="H42" s="12" t="s">
        <v>23</v>
      </c>
      <c r="I42" s="36"/>
      <c r="J42" s="44"/>
      <c r="K42" s="12"/>
      <c r="L42" s="9"/>
    </row>
    <row r="43" spans="1:12" ht="15.75" customHeight="1">
      <c r="A43" s="6" t="s">
        <v>58</v>
      </c>
      <c r="B43" s="6" t="s">
        <v>74</v>
      </c>
      <c r="C43" s="8">
        <v>542</v>
      </c>
      <c r="D43" s="8" t="s">
        <v>76</v>
      </c>
      <c r="E43" s="19">
        <f>4955904-1000</f>
        <v>4954904</v>
      </c>
      <c r="F43" s="46"/>
      <c r="G43" s="38"/>
      <c r="H43" s="12" t="s">
        <v>23</v>
      </c>
      <c r="I43" s="36"/>
      <c r="J43" s="44">
        <v>6656714.8499999996</v>
      </c>
      <c r="K43" s="12"/>
      <c r="L43" s="9"/>
    </row>
    <row r="44" spans="1:12" ht="15.75" customHeight="1">
      <c r="A44" s="6" t="s">
        <v>58</v>
      </c>
      <c r="B44" s="6" t="s">
        <v>74</v>
      </c>
      <c r="C44" s="8">
        <v>542</v>
      </c>
      <c r="D44" s="8" t="s">
        <v>75</v>
      </c>
      <c r="E44" s="19">
        <v>3000</v>
      </c>
      <c r="F44" s="46"/>
      <c r="G44" s="38"/>
      <c r="H44" s="12" t="s">
        <v>23</v>
      </c>
      <c r="I44" s="36"/>
      <c r="J44" s="36"/>
      <c r="K44" s="12"/>
      <c r="L44" s="9"/>
    </row>
    <row r="45" spans="1:12" ht="15.75" customHeight="1">
      <c r="A45" s="6" t="s">
        <v>58</v>
      </c>
      <c r="B45" s="6" t="s">
        <v>74</v>
      </c>
      <c r="C45" s="8">
        <v>542</v>
      </c>
      <c r="D45" s="8" t="s">
        <v>28</v>
      </c>
      <c r="E45" s="19">
        <v>1000</v>
      </c>
      <c r="F45" s="11"/>
      <c r="G45" s="41"/>
      <c r="H45" s="12" t="s">
        <v>23</v>
      </c>
      <c r="I45" s="36"/>
      <c r="J45" s="44"/>
      <c r="K45" s="12"/>
      <c r="L45" s="9"/>
    </row>
    <row r="46" spans="1:12" ht="15.75" customHeight="1">
      <c r="A46" s="6" t="s">
        <v>58</v>
      </c>
      <c r="B46" s="47" t="s">
        <v>78</v>
      </c>
      <c r="C46" s="8">
        <v>752</v>
      </c>
      <c r="D46" s="8" t="s">
        <v>79</v>
      </c>
      <c r="E46" s="19">
        <v>70000</v>
      </c>
      <c r="F46" s="11"/>
      <c r="G46" s="41"/>
      <c r="H46" s="12" t="s">
        <v>45</v>
      </c>
      <c r="I46" s="39" t="s">
        <v>80</v>
      </c>
      <c r="J46" s="30">
        <v>130005500</v>
      </c>
      <c r="K46" s="12"/>
      <c r="L46" s="9"/>
    </row>
    <row r="47" spans="1:12" ht="15.75" customHeight="1">
      <c r="A47" s="6" t="s">
        <v>58</v>
      </c>
      <c r="B47" s="6" t="s">
        <v>81</v>
      </c>
      <c r="C47" s="7">
        <v>782</v>
      </c>
      <c r="D47" s="8" t="s">
        <v>82</v>
      </c>
      <c r="E47" s="26">
        <f>248624890-147451665.82</f>
        <v>101173224.18000001</v>
      </c>
      <c r="F47" s="15" t="s">
        <v>83</v>
      </c>
      <c r="G47" s="15" t="s">
        <v>84</v>
      </c>
      <c r="H47" s="12" t="s">
        <v>45</v>
      </c>
      <c r="I47" s="48" t="s">
        <v>85</v>
      </c>
      <c r="J47" s="30">
        <v>300373369.75</v>
      </c>
      <c r="K47" s="12"/>
      <c r="L47" s="9"/>
    </row>
    <row r="48" spans="1:12" ht="15.75" customHeight="1">
      <c r="A48" s="6" t="s">
        <v>58</v>
      </c>
      <c r="B48" s="6" t="s">
        <v>81</v>
      </c>
      <c r="C48" s="7">
        <v>782</v>
      </c>
      <c r="D48" s="8" t="s">
        <v>86</v>
      </c>
      <c r="E48" s="19">
        <v>0</v>
      </c>
      <c r="F48" s="28"/>
      <c r="G48" s="38"/>
      <c r="H48" s="12"/>
      <c r="I48" s="36"/>
      <c r="J48" s="30">
        <v>4026473</v>
      </c>
      <c r="K48" s="12"/>
      <c r="L48" s="9"/>
    </row>
    <row r="49" spans="1:12" ht="15.75" customHeight="1">
      <c r="A49" s="6" t="s">
        <v>58</v>
      </c>
      <c r="B49" s="6" t="s">
        <v>81</v>
      </c>
      <c r="C49" s="7">
        <v>782</v>
      </c>
      <c r="D49" s="8" t="s">
        <v>79</v>
      </c>
      <c r="E49" s="19">
        <v>480000</v>
      </c>
      <c r="F49" s="28"/>
      <c r="G49" s="38"/>
      <c r="H49" s="12" t="s">
        <v>45</v>
      </c>
      <c r="I49" s="39" t="s">
        <v>87</v>
      </c>
      <c r="J49" s="30">
        <v>4026473</v>
      </c>
      <c r="K49" s="12"/>
      <c r="L49" s="9"/>
    </row>
    <row r="50" spans="1:12" ht="31.5" customHeight="1">
      <c r="A50" s="32"/>
      <c r="B50" s="32"/>
      <c r="C50" s="33"/>
      <c r="D50" s="33"/>
      <c r="E50" s="34"/>
      <c r="F50" s="17"/>
      <c r="G50" s="12"/>
      <c r="H50" s="12"/>
      <c r="I50" s="12"/>
      <c r="J50" s="31"/>
      <c r="K50" s="12"/>
      <c r="L50" s="9"/>
    </row>
    <row r="51" spans="1:12" ht="31.5" customHeight="1">
      <c r="A51" s="32"/>
      <c r="B51" s="32"/>
      <c r="C51" s="33"/>
      <c r="D51" s="33"/>
      <c r="E51" s="34"/>
      <c r="F51" s="17"/>
      <c r="G51" s="12"/>
      <c r="H51" s="12"/>
      <c r="I51" s="12"/>
      <c r="J51" s="31"/>
      <c r="K51" s="12"/>
      <c r="L51" s="9"/>
    </row>
    <row r="52" spans="1:12" ht="31.5" customHeight="1">
      <c r="A52" s="4" t="s">
        <v>7</v>
      </c>
      <c r="B52" s="5" t="s">
        <v>8</v>
      </c>
      <c r="C52" s="5" t="s">
        <v>9</v>
      </c>
      <c r="D52" s="5" t="s">
        <v>10</v>
      </c>
      <c r="E52" s="5" t="s">
        <v>11</v>
      </c>
      <c r="F52" s="5" t="s">
        <v>12</v>
      </c>
      <c r="G52" s="5" t="s">
        <v>13</v>
      </c>
      <c r="H52" s="4" t="s">
        <v>14</v>
      </c>
      <c r="I52" s="4" t="s">
        <v>15</v>
      </c>
      <c r="J52" s="4" t="s">
        <v>16</v>
      </c>
      <c r="K52" s="4" t="s">
        <v>14</v>
      </c>
      <c r="L52" s="4" t="s">
        <v>57</v>
      </c>
    </row>
    <row r="53" spans="1:12" ht="15.75" customHeight="1">
      <c r="A53" s="6" t="s">
        <v>88</v>
      </c>
      <c r="B53" s="6" t="s">
        <v>89</v>
      </c>
      <c r="C53" s="8">
        <v>32</v>
      </c>
      <c r="D53" s="8" t="s">
        <v>90</v>
      </c>
      <c r="E53" s="19">
        <v>1000000</v>
      </c>
      <c r="F53" s="28" t="s">
        <v>91</v>
      </c>
      <c r="G53" s="38"/>
      <c r="H53" s="12" t="s">
        <v>23</v>
      </c>
      <c r="I53" s="12"/>
      <c r="J53" s="44">
        <v>152248932.81999999</v>
      </c>
      <c r="K53" s="49" t="s">
        <v>45</v>
      </c>
      <c r="L53" s="12"/>
    </row>
    <row r="54" spans="1:12" ht="15.75" customHeight="1">
      <c r="A54" s="6" t="s">
        <v>88</v>
      </c>
      <c r="B54" s="6" t="s">
        <v>92</v>
      </c>
      <c r="C54" s="8">
        <v>122</v>
      </c>
      <c r="D54" s="8" t="s">
        <v>93</v>
      </c>
      <c r="E54" s="19">
        <f>5000000+5000000</f>
        <v>10000000</v>
      </c>
      <c r="F54" s="28"/>
      <c r="G54" s="38"/>
      <c r="H54" s="12" t="s">
        <v>23</v>
      </c>
      <c r="I54" s="12"/>
      <c r="J54" s="44">
        <v>702360008.04999995</v>
      </c>
      <c r="K54" s="49" t="s">
        <v>45</v>
      </c>
      <c r="L54" s="12"/>
    </row>
    <row r="55" spans="1:12" ht="15.75" customHeight="1">
      <c r="A55" s="6" t="s">
        <v>88</v>
      </c>
      <c r="B55" s="6" t="s">
        <v>92</v>
      </c>
      <c r="C55" s="8">
        <v>61</v>
      </c>
      <c r="D55" s="8" t="s">
        <v>93</v>
      </c>
      <c r="E55" s="19">
        <v>5100000</v>
      </c>
      <c r="F55" s="28"/>
      <c r="G55" s="38"/>
      <c r="H55" s="12" t="s">
        <v>23</v>
      </c>
      <c r="I55" s="12"/>
      <c r="J55" s="36"/>
      <c r="K55" s="49" t="s">
        <v>45</v>
      </c>
      <c r="L55" s="12"/>
    </row>
    <row r="56" spans="1:12" ht="15.75" customHeight="1">
      <c r="A56" s="6" t="s">
        <v>88</v>
      </c>
      <c r="B56" s="6" t="s">
        <v>94</v>
      </c>
      <c r="C56" s="8">
        <v>91</v>
      </c>
      <c r="D56" s="8" t="s">
        <v>95</v>
      </c>
      <c r="E56" s="19">
        <v>13650093.73</v>
      </c>
      <c r="F56" s="28"/>
      <c r="G56" s="38"/>
      <c r="H56" s="12" t="s">
        <v>23</v>
      </c>
      <c r="I56" s="12"/>
      <c r="J56" s="44">
        <v>321412348.25</v>
      </c>
      <c r="K56" s="49" t="s">
        <v>45</v>
      </c>
      <c r="L56" s="12"/>
    </row>
    <row r="57" spans="1:12" ht="15.75" customHeight="1">
      <c r="A57" s="6" t="s">
        <v>88</v>
      </c>
      <c r="B57" s="6" t="s">
        <v>94</v>
      </c>
      <c r="C57" s="8">
        <v>92</v>
      </c>
      <c r="D57" s="8" t="s">
        <v>96</v>
      </c>
      <c r="E57" s="19">
        <v>1557200</v>
      </c>
      <c r="F57" s="28"/>
      <c r="G57" s="38"/>
      <c r="H57" s="12" t="s">
        <v>23</v>
      </c>
      <c r="I57" s="12"/>
      <c r="J57" s="44">
        <v>93399891.069999993</v>
      </c>
      <c r="K57" s="49" t="s">
        <v>45</v>
      </c>
      <c r="L57" s="12"/>
    </row>
    <row r="58" spans="1:12" ht="15.75" customHeight="1">
      <c r="A58" s="6" t="s">
        <v>88</v>
      </c>
      <c r="B58" s="6" t="s">
        <v>94</v>
      </c>
      <c r="C58" s="8">
        <v>92</v>
      </c>
      <c r="D58" s="8" t="s">
        <v>97</v>
      </c>
      <c r="E58" s="19">
        <v>1000</v>
      </c>
      <c r="F58" s="28"/>
      <c r="G58" s="38"/>
      <c r="H58" s="12" t="s">
        <v>23</v>
      </c>
      <c r="I58" s="12"/>
      <c r="J58" s="44">
        <v>9345424.8900000006</v>
      </c>
      <c r="K58" s="49" t="s">
        <v>45</v>
      </c>
      <c r="L58" s="12"/>
    </row>
    <row r="59" spans="1:12" ht="15.75" customHeight="1">
      <c r="A59" s="6" t="s">
        <v>88</v>
      </c>
      <c r="B59" s="6" t="s">
        <v>62</v>
      </c>
      <c r="C59" s="7">
        <v>121</v>
      </c>
      <c r="D59" s="8" t="s">
        <v>66</v>
      </c>
      <c r="E59" s="19">
        <v>20000000</v>
      </c>
      <c r="F59" s="40"/>
      <c r="G59" s="41"/>
      <c r="H59" s="12" t="s">
        <v>23</v>
      </c>
      <c r="I59" s="12"/>
      <c r="J59" s="44" t="s">
        <v>98</v>
      </c>
      <c r="K59" s="49" t="s">
        <v>45</v>
      </c>
      <c r="L59" s="12"/>
    </row>
    <row r="60" spans="1:12" ht="15.75" customHeight="1">
      <c r="A60" s="6" t="s">
        <v>88</v>
      </c>
      <c r="B60" s="6" t="s">
        <v>62</v>
      </c>
      <c r="C60" s="8">
        <v>122</v>
      </c>
      <c r="D60" s="8" t="s">
        <v>99</v>
      </c>
      <c r="E60" s="19">
        <v>101050</v>
      </c>
      <c r="F60" s="28"/>
      <c r="G60" s="38"/>
      <c r="H60" s="12" t="s">
        <v>23</v>
      </c>
      <c r="I60" s="12"/>
      <c r="J60" s="44">
        <v>2500000</v>
      </c>
      <c r="K60" s="49" t="s">
        <v>45</v>
      </c>
      <c r="L60" s="12"/>
    </row>
    <row r="61" spans="1:12" ht="15.75" customHeight="1">
      <c r="A61" s="6" t="s">
        <v>88</v>
      </c>
      <c r="B61" s="6" t="s">
        <v>62</v>
      </c>
      <c r="C61" s="7">
        <v>122</v>
      </c>
      <c r="D61" s="8" t="s">
        <v>100</v>
      </c>
      <c r="E61" s="19">
        <f>50000+60000</f>
        <v>110000</v>
      </c>
      <c r="F61" s="40"/>
      <c r="G61" s="41"/>
      <c r="H61" s="12" t="s">
        <v>23</v>
      </c>
      <c r="I61" s="12"/>
      <c r="J61" s="44">
        <v>3697682</v>
      </c>
      <c r="K61" s="12"/>
      <c r="L61" s="12"/>
    </row>
    <row r="62" spans="1:12" ht="15.75" customHeight="1">
      <c r="A62" s="6" t="s">
        <v>88</v>
      </c>
      <c r="B62" s="6" t="s">
        <v>62</v>
      </c>
      <c r="C62" s="7">
        <v>129</v>
      </c>
      <c r="D62" s="8" t="s">
        <v>66</v>
      </c>
      <c r="E62" s="19">
        <f>115500+3002929+2338187.5+6468075+1020000+4000000+5000000+1000000+4000000+5250</f>
        <v>26949941.5</v>
      </c>
      <c r="F62" s="40"/>
      <c r="G62" s="41"/>
      <c r="H62" s="12" t="s">
        <v>23</v>
      </c>
      <c r="I62" s="12"/>
      <c r="J62" s="44"/>
      <c r="K62" s="49" t="s">
        <v>45</v>
      </c>
      <c r="L62" s="12"/>
    </row>
    <row r="63" spans="1:12" ht="15.75" customHeight="1">
      <c r="A63" s="6" t="s">
        <v>88</v>
      </c>
      <c r="B63" s="6" t="s">
        <v>101</v>
      </c>
      <c r="C63" s="7">
        <v>181</v>
      </c>
      <c r="D63" s="8" t="s">
        <v>70</v>
      </c>
      <c r="E63" s="19">
        <v>36000</v>
      </c>
      <c r="F63" s="40"/>
      <c r="G63" s="41"/>
      <c r="H63" s="12" t="s">
        <v>23</v>
      </c>
      <c r="I63" s="12"/>
      <c r="J63" s="44">
        <f>56229691.52+1000+305000</f>
        <v>56535691.520000003</v>
      </c>
      <c r="K63" s="49" t="s">
        <v>45</v>
      </c>
      <c r="L63" s="12"/>
    </row>
    <row r="64" spans="1:12" ht="15.75" customHeight="1">
      <c r="A64" s="6" t="s">
        <v>88</v>
      </c>
      <c r="B64" s="6" t="s">
        <v>101</v>
      </c>
      <c r="C64" s="7">
        <v>182</v>
      </c>
      <c r="D64" s="8" t="s">
        <v>102</v>
      </c>
      <c r="E64" s="19">
        <v>1000</v>
      </c>
      <c r="F64" s="40"/>
      <c r="G64" s="41"/>
      <c r="H64" s="12" t="s">
        <v>23</v>
      </c>
      <c r="I64" s="12"/>
      <c r="J64" s="44">
        <v>17760000</v>
      </c>
      <c r="K64" s="49" t="s">
        <v>45</v>
      </c>
      <c r="L64" s="12"/>
    </row>
    <row r="65" spans="1:12" ht="15.75" customHeight="1">
      <c r="A65" s="6" t="s">
        <v>88</v>
      </c>
      <c r="B65" s="6" t="s">
        <v>103</v>
      </c>
      <c r="C65" s="7">
        <v>182</v>
      </c>
      <c r="D65" s="8" t="s">
        <v>104</v>
      </c>
      <c r="E65" s="19">
        <f>500000+514636+1484364+200000</f>
        <v>2699000</v>
      </c>
      <c r="F65" s="40"/>
      <c r="G65" s="41"/>
      <c r="H65" s="12" t="s">
        <v>23</v>
      </c>
      <c r="I65" s="12"/>
      <c r="J65" s="44">
        <v>35844948.240000002</v>
      </c>
      <c r="K65" s="49" t="s">
        <v>45</v>
      </c>
      <c r="L65" s="12"/>
    </row>
    <row r="66" spans="1:12" ht="15.75" customHeight="1">
      <c r="A66" s="6" t="s">
        <v>88</v>
      </c>
      <c r="B66" s="6" t="s">
        <v>101</v>
      </c>
      <c r="C66" s="7">
        <v>183</v>
      </c>
      <c r="D66" s="8" t="s">
        <v>105</v>
      </c>
      <c r="E66" s="19">
        <v>3300000</v>
      </c>
      <c r="F66" s="40"/>
      <c r="G66" s="41"/>
      <c r="H66" s="12" t="s">
        <v>23</v>
      </c>
      <c r="I66" s="12"/>
      <c r="J66" s="44">
        <v>24501000</v>
      </c>
      <c r="K66" s="49" t="s">
        <v>45</v>
      </c>
      <c r="L66" s="12"/>
    </row>
    <row r="67" spans="1:12" ht="15.75" customHeight="1">
      <c r="A67" s="6" t="s">
        <v>88</v>
      </c>
      <c r="B67" s="6" t="s">
        <v>101</v>
      </c>
      <c r="C67" s="7">
        <v>183</v>
      </c>
      <c r="D67" s="8" t="s">
        <v>106</v>
      </c>
      <c r="E67" s="19">
        <v>800</v>
      </c>
      <c r="F67" s="40"/>
      <c r="G67" s="41"/>
      <c r="H67" s="12" t="s">
        <v>23</v>
      </c>
      <c r="I67" s="12"/>
      <c r="J67" s="44">
        <v>100000000.01000001</v>
      </c>
      <c r="K67" s="49" t="s">
        <v>45</v>
      </c>
      <c r="L67" s="12"/>
    </row>
    <row r="68" spans="1:12" ht="15.75" customHeight="1">
      <c r="A68" s="6" t="s">
        <v>88</v>
      </c>
      <c r="B68" s="6" t="s">
        <v>101</v>
      </c>
      <c r="C68" s="7">
        <v>183</v>
      </c>
      <c r="D68" s="8" t="s">
        <v>68</v>
      </c>
      <c r="E68" s="19">
        <f>250000+400000+600000+3700000</f>
        <v>4950000</v>
      </c>
      <c r="F68" s="40"/>
      <c r="G68" s="41"/>
      <c r="H68" s="12" t="s">
        <v>23</v>
      </c>
      <c r="I68" s="12"/>
      <c r="J68" s="44">
        <v>38146684.009999998</v>
      </c>
      <c r="K68" s="49" t="s">
        <v>45</v>
      </c>
      <c r="L68" s="12"/>
    </row>
    <row r="69" spans="1:12" ht="15.75" customHeight="1">
      <c r="A69" s="6" t="s">
        <v>88</v>
      </c>
      <c r="B69" s="6" t="s">
        <v>101</v>
      </c>
      <c r="C69" s="7">
        <v>183</v>
      </c>
      <c r="D69" s="8" t="s">
        <v>107</v>
      </c>
      <c r="E69" s="19">
        <f>1771713.29</f>
        <v>1771713.29</v>
      </c>
      <c r="F69" s="40"/>
      <c r="G69" s="41"/>
      <c r="H69" s="12" t="s">
        <v>23</v>
      </c>
      <c r="I69" s="12"/>
      <c r="J69" s="44">
        <v>2986216.75</v>
      </c>
      <c r="K69" s="49" t="s">
        <v>45</v>
      </c>
      <c r="L69" s="12"/>
    </row>
    <row r="70" spans="1:12" ht="15.75" customHeight="1">
      <c r="A70" s="6" t="s">
        <v>88</v>
      </c>
      <c r="B70" s="6" t="s">
        <v>101</v>
      </c>
      <c r="C70" s="7">
        <v>183</v>
      </c>
      <c r="D70" s="8" t="s">
        <v>70</v>
      </c>
      <c r="E70" s="19">
        <f>50000+2800000</f>
        <v>2850000</v>
      </c>
      <c r="F70" s="40"/>
      <c r="G70" s="41"/>
      <c r="H70" s="12" t="s">
        <v>23</v>
      </c>
      <c r="I70" s="12"/>
      <c r="J70" s="36"/>
      <c r="K70" s="49" t="s">
        <v>45</v>
      </c>
      <c r="L70" s="12"/>
    </row>
    <row r="71" spans="1:12" ht="15.75" customHeight="1">
      <c r="A71" s="6" t="s">
        <v>88</v>
      </c>
      <c r="B71" s="6" t="s">
        <v>101</v>
      </c>
      <c r="C71" s="7">
        <v>183</v>
      </c>
      <c r="D71" s="8" t="s">
        <v>108</v>
      </c>
      <c r="E71" s="19">
        <f>3300000+1000000</f>
        <v>4300000</v>
      </c>
      <c r="F71" s="40"/>
      <c r="G71" s="41"/>
      <c r="H71" s="12" t="s">
        <v>23</v>
      </c>
      <c r="I71" s="12"/>
      <c r="J71" s="44">
        <v>33073035.920000002</v>
      </c>
      <c r="K71" s="49" t="s">
        <v>45</v>
      </c>
      <c r="L71" s="12"/>
    </row>
    <row r="72" spans="1:12" ht="15.75" customHeight="1">
      <c r="A72" s="6" t="s">
        <v>88</v>
      </c>
      <c r="B72" s="6" t="s">
        <v>101</v>
      </c>
      <c r="C72" s="7">
        <v>243</v>
      </c>
      <c r="D72" s="8" t="s">
        <v>106</v>
      </c>
      <c r="E72" s="19">
        <v>2251384.9300000002</v>
      </c>
      <c r="F72" s="40"/>
      <c r="G72" s="41"/>
      <c r="H72" s="12" t="s">
        <v>23</v>
      </c>
      <c r="I72" s="12"/>
      <c r="J72" s="44"/>
      <c r="K72" s="49" t="s">
        <v>45</v>
      </c>
      <c r="L72" s="12"/>
    </row>
    <row r="73" spans="1:12" ht="15.75" customHeight="1">
      <c r="A73" s="6" t="s">
        <v>88</v>
      </c>
      <c r="B73" s="6" t="s">
        <v>101</v>
      </c>
      <c r="C73" s="7">
        <v>421</v>
      </c>
      <c r="D73" s="8" t="s">
        <v>106</v>
      </c>
      <c r="E73" s="19">
        <v>1000000</v>
      </c>
      <c r="F73" s="40"/>
      <c r="G73" s="41"/>
      <c r="H73" s="12" t="s">
        <v>23</v>
      </c>
      <c r="I73" s="12"/>
      <c r="J73" s="44"/>
      <c r="K73" s="49" t="s">
        <v>45</v>
      </c>
      <c r="L73" s="12"/>
    </row>
    <row r="74" spans="1:12" ht="15.75" customHeight="1">
      <c r="A74" s="6" t="s">
        <v>88</v>
      </c>
      <c r="B74" s="6" t="s">
        <v>101</v>
      </c>
      <c r="C74" s="7">
        <v>542</v>
      </c>
      <c r="D74" s="8" t="s">
        <v>68</v>
      </c>
      <c r="E74" s="19">
        <v>2779.13</v>
      </c>
      <c r="F74" s="40"/>
      <c r="G74" s="41"/>
      <c r="H74" s="12" t="s">
        <v>23</v>
      </c>
      <c r="I74" s="12"/>
      <c r="J74" s="44"/>
      <c r="K74" s="49" t="s">
        <v>45</v>
      </c>
      <c r="L74" s="12"/>
    </row>
    <row r="75" spans="1:12" ht="31.5">
      <c r="A75" s="6" t="s">
        <v>88</v>
      </c>
      <c r="B75" s="6" t="s">
        <v>109</v>
      </c>
      <c r="C75" s="7">
        <v>122</v>
      </c>
      <c r="D75" s="8" t="s">
        <v>110</v>
      </c>
      <c r="E75" s="19">
        <v>1000</v>
      </c>
      <c r="F75" s="40"/>
      <c r="G75" s="41"/>
      <c r="H75" s="12" t="s">
        <v>23</v>
      </c>
      <c r="I75" s="12"/>
      <c r="J75" s="44">
        <v>30090000</v>
      </c>
      <c r="K75" s="49" t="s">
        <v>45</v>
      </c>
      <c r="L75" s="12"/>
    </row>
    <row r="76" spans="1:12" ht="31.5">
      <c r="A76" s="6" t="s">
        <v>88</v>
      </c>
      <c r="B76" s="6" t="s">
        <v>109</v>
      </c>
      <c r="C76" s="7">
        <v>244</v>
      </c>
      <c r="D76" s="8" t="s">
        <v>110</v>
      </c>
      <c r="E76" s="19">
        <v>5000000</v>
      </c>
      <c r="F76" s="40"/>
      <c r="G76" s="41"/>
      <c r="H76" s="12" t="s">
        <v>23</v>
      </c>
      <c r="I76" s="12"/>
      <c r="J76" s="44"/>
      <c r="K76" s="49" t="s">
        <v>45</v>
      </c>
      <c r="L76" s="12"/>
    </row>
    <row r="77" spans="1:12" ht="31.5">
      <c r="A77" s="6" t="s">
        <v>88</v>
      </c>
      <c r="B77" s="6" t="s">
        <v>111</v>
      </c>
      <c r="C77" s="7">
        <v>122</v>
      </c>
      <c r="D77" s="8" t="s">
        <v>65</v>
      </c>
      <c r="E77" s="19">
        <v>100000</v>
      </c>
      <c r="F77" s="40"/>
      <c r="G77" s="41"/>
      <c r="H77" s="12" t="s">
        <v>23</v>
      </c>
      <c r="I77" s="12"/>
      <c r="J77" s="44">
        <v>2076019250.4100001</v>
      </c>
      <c r="K77" s="49" t="s">
        <v>45</v>
      </c>
      <c r="L77" s="12"/>
    </row>
    <row r="78" spans="1:12" ht="15.75" customHeight="1">
      <c r="A78" s="6" t="s">
        <v>88</v>
      </c>
      <c r="B78" s="6" t="s">
        <v>111</v>
      </c>
      <c r="C78" s="7">
        <v>272</v>
      </c>
      <c r="D78" s="8" t="s">
        <v>65</v>
      </c>
      <c r="E78" s="19">
        <v>4000000</v>
      </c>
      <c r="F78" s="28"/>
      <c r="G78" s="38"/>
      <c r="H78" s="12" t="s">
        <v>23</v>
      </c>
      <c r="I78" s="12"/>
      <c r="J78" s="36"/>
      <c r="K78" s="49" t="s">
        <v>45</v>
      </c>
      <c r="L78" s="12"/>
    </row>
    <row r="79" spans="1:12" ht="15.75" customHeight="1">
      <c r="A79" s="6" t="s">
        <v>88</v>
      </c>
      <c r="B79" s="6" t="s">
        <v>112</v>
      </c>
      <c r="C79" s="7">
        <v>302</v>
      </c>
      <c r="D79" s="8" t="s">
        <v>113</v>
      </c>
      <c r="E79" s="19">
        <f>44510000+12997000</f>
        <v>57507000</v>
      </c>
      <c r="F79" s="40"/>
      <c r="G79" s="41"/>
      <c r="H79" s="12" t="s">
        <v>23</v>
      </c>
      <c r="I79" s="12"/>
      <c r="J79" s="44">
        <v>2029593835.3</v>
      </c>
      <c r="K79" s="49" t="s">
        <v>45</v>
      </c>
      <c r="L79" s="12"/>
    </row>
    <row r="80" spans="1:12" ht="15.75" customHeight="1">
      <c r="A80" s="6" t="s">
        <v>88</v>
      </c>
      <c r="B80" s="6" t="s">
        <v>114</v>
      </c>
      <c r="C80" s="7">
        <v>695</v>
      </c>
      <c r="D80" s="8" t="s">
        <v>47</v>
      </c>
      <c r="E80" s="19">
        <f>700000+1+1</f>
        <v>700002</v>
      </c>
      <c r="F80" s="40"/>
      <c r="G80" s="41"/>
      <c r="H80" s="12" t="s">
        <v>23</v>
      </c>
      <c r="I80" s="12"/>
      <c r="J80" s="44">
        <v>14588279.119999999</v>
      </c>
      <c r="K80" s="49" t="s">
        <v>45</v>
      </c>
      <c r="L80" s="12"/>
    </row>
    <row r="81" spans="1:12" ht="15.75" customHeight="1">
      <c r="A81" s="6" t="s">
        <v>88</v>
      </c>
      <c r="B81" s="6" t="s">
        <v>115</v>
      </c>
      <c r="C81" s="7">
        <v>361</v>
      </c>
      <c r="D81" s="8" t="s">
        <v>116</v>
      </c>
      <c r="E81" s="19">
        <f>14000000+10950000+1900000</f>
        <v>26850000</v>
      </c>
      <c r="F81" s="40"/>
      <c r="G81" s="41"/>
      <c r="H81" s="12" t="s">
        <v>23</v>
      </c>
      <c r="I81" s="12"/>
      <c r="J81" s="44">
        <v>999969618.73000002</v>
      </c>
      <c r="K81" s="49" t="s">
        <v>45</v>
      </c>
      <c r="L81" s="12"/>
    </row>
    <row r="82" spans="1:12" ht="15.75" customHeight="1">
      <c r="A82" s="6" t="s">
        <v>88</v>
      </c>
      <c r="B82" s="6" t="s">
        <v>115</v>
      </c>
      <c r="C82" s="7">
        <v>362</v>
      </c>
      <c r="D82" s="8" t="s">
        <v>116</v>
      </c>
      <c r="E82" s="19">
        <f>4000000</f>
        <v>4000000</v>
      </c>
      <c r="F82" s="40"/>
      <c r="G82" s="41"/>
      <c r="H82" s="12" t="s">
        <v>23</v>
      </c>
      <c r="I82" s="12"/>
      <c r="J82" s="36"/>
      <c r="K82" s="49" t="s">
        <v>45</v>
      </c>
      <c r="L82" s="12"/>
    </row>
    <row r="83" spans="1:12" ht="15.75" customHeight="1">
      <c r="A83" s="6" t="s">
        <v>88</v>
      </c>
      <c r="B83" s="6" t="s">
        <v>115</v>
      </c>
      <c r="C83" s="7">
        <v>363</v>
      </c>
      <c r="D83" s="8" t="s">
        <v>117</v>
      </c>
      <c r="E83" s="19">
        <f>1000+1600000+500+500</f>
        <v>1602000</v>
      </c>
      <c r="F83" s="40"/>
      <c r="G83" s="41"/>
      <c r="H83" s="12" t="s">
        <v>23</v>
      </c>
      <c r="I83" s="12"/>
      <c r="J83" s="44">
        <v>52548387.68</v>
      </c>
      <c r="K83" s="49" t="s">
        <v>45</v>
      </c>
      <c r="L83" s="12"/>
    </row>
    <row r="84" spans="1:12" ht="15.75" customHeight="1">
      <c r="A84" s="6" t="s">
        <v>88</v>
      </c>
      <c r="B84" s="6" t="s">
        <v>118</v>
      </c>
      <c r="C84" s="7">
        <v>122</v>
      </c>
      <c r="D84" s="8" t="s">
        <v>119</v>
      </c>
      <c r="E84" s="19">
        <f>147472.27+150000+1000</f>
        <v>298472.27</v>
      </c>
      <c r="F84" s="40"/>
      <c r="G84" s="41"/>
      <c r="H84" s="12" t="s">
        <v>23</v>
      </c>
      <c r="I84" s="12"/>
      <c r="J84" s="44">
        <v>46188100</v>
      </c>
      <c r="K84" s="49" t="s">
        <v>45</v>
      </c>
      <c r="L84" s="12"/>
    </row>
    <row r="85" spans="1:12" ht="15.75" customHeight="1">
      <c r="A85" s="6" t="s">
        <v>88</v>
      </c>
      <c r="B85" s="6" t="s">
        <v>118</v>
      </c>
      <c r="C85" s="7">
        <v>392</v>
      </c>
      <c r="D85" s="8" t="s">
        <v>119</v>
      </c>
      <c r="E85" s="19">
        <f>750000+290000</f>
        <v>1040000</v>
      </c>
      <c r="F85" s="40"/>
      <c r="G85" s="41"/>
      <c r="H85" s="12" t="s">
        <v>23</v>
      </c>
      <c r="I85" s="12"/>
      <c r="J85" s="36"/>
      <c r="K85" s="49" t="s">
        <v>45</v>
      </c>
      <c r="L85" s="12"/>
    </row>
    <row r="86" spans="1:12" ht="15.75" customHeight="1">
      <c r="A86" s="6" t="s">
        <v>88</v>
      </c>
      <c r="B86" s="6" t="s">
        <v>120</v>
      </c>
      <c r="C86" s="7">
        <v>243</v>
      </c>
      <c r="D86" s="8" t="s">
        <v>121</v>
      </c>
      <c r="E86" s="19">
        <v>2251384.9300000002</v>
      </c>
      <c r="F86" s="40"/>
      <c r="G86" s="41"/>
      <c r="H86" s="12" t="s">
        <v>23</v>
      </c>
      <c r="I86" s="12"/>
      <c r="J86" s="44">
        <v>18030760.629999999</v>
      </c>
      <c r="K86" s="49" t="s">
        <v>45</v>
      </c>
      <c r="L86" s="12"/>
    </row>
    <row r="87" spans="1:12" ht="15.75" customHeight="1">
      <c r="A87" s="6" t="s">
        <v>88</v>
      </c>
      <c r="B87" s="6" t="s">
        <v>120</v>
      </c>
      <c r="C87" s="7">
        <v>422</v>
      </c>
      <c r="D87" s="8" t="s">
        <v>122</v>
      </c>
      <c r="E87" s="19">
        <v>5000</v>
      </c>
      <c r="F87" s="40"/>
      <c r="G87" s="41"/>
      <c r="H87" s="12" t="s">
        <v>23</v>
      </c>
      <c r="I87" s="12"/>
      <c r="J87" s="44">
        <v>1200000</v>
      </c>
      <c r="K87" s="49" t="s">
        <v>45</v>
      </c>
      <c r="L87" s="12"/>
    </row>
    <row r="88" spans="1:12" ht="15.75" customHeight="1">
      <c r="A88" s="6" t="s">
        <v>88</v>
      </c>
      <c r="B88" s="6" t="s">
        <v>120</v>
      </c>
      <c r="C88" s="7">
        <v>422</v>
      </c>
      <c r="D88" s="8" t="s">
        <v>123</v>
      </c>
      <c r="E88" s="19">
        <v>589560</v>
      </c>
      <c r="F88" s="40"/>
      <c r="G88" s="41"/>
      <c r="H88" s="12" t="s">
        <v>23</v>
      </c>
      <c r="I88" s="12"/>
      <c r="J88" s="44">
        <v>7511899</v>
      </c>
      <c r="K88" s="49" t="s">
        <v>45</v>
      </c>
      <c r="L88" s="12"/>
    </row>
    <row r="89" spans="1:12" ht="15.75" customHeight="1">
      <c r="A89" s="6" t="s">
        <v>88</v>
      </c>
      <c r="B89" s="6" t="s">
        <v>124</v>
      </c>
      <c r="C89" s="7">
        <v>451</v>
      </c>
      <c r="D89" s="8" t="s">
        <v>125</v>
      </c>
      <c r="E89" s="19">
        <f>1000+9361139.29+1000+34913353.3+1000+1000+1000+1000000+1000+1000+1000+3000+295000+3000000</f>
        <v>48580492.589999996</v>
      </c>
      <c r="F89" s="40"/>
      <c r="G89" s="41"/>
      <c r="H89" s="12" t="s">
        <v>23</v>
      </c>
      <c r="I89" s="12"/>
      <c r="J89" s="44">
        <v>71897656</v>
      </c>
      <c r="K89" s="49" t="s">
        <v>45</v>
      </c>
      <c r="L89" s="12"/>
    </row>
    <row r="90" spans="1:12" ht="15.75" customHeight="1">
      <c r="A90" s="6" t="s">
        <v>88</v>
      </c>
      <c r="B90" s="6" t="s">
        <v>124</v>
      </c>
      <c r="C90" s="7">
        <v>451</v>
      </c>
      <c r="D90" s="8" t="s">
        <v>126</v>
      </c>
      <c r="E90" s="19">
        <v>1000</v>
      </c>
      <c r="F90" s="40"/>
      <c r="G90" s="41"/>
      <c r="H90" s="12" t="s">
        <v>23</v>
      </c>
      <c r="I90" s="12"/>
      <c r="J90" s="44">
        <v>1000</v>
      </c>
      <c r="K90" s="49" t="s">
        <v>45</v>
      </c>
      <c r="L90" s="12"/>
    </row>
    <row r="91" spans="1:12" ht="15.75" customHeight="1">
      <c r="A91" s="6" t="s">
        <v>88</v>
      </c>
      <c r="B91" s="6" t="s">
        <v>124</v>
      </c>
      <c r="C91" s="7">
        <v>451</v>
      </c>
      <c r="D91" s="8" t="s">
        <v>72</v>
      </c>
      <c r="E91" s="19">
        <f>55205500+26034000</f>
        <v>81239500</v>
      </c>
      <c r="F91" s="28"/>
      <c r="G91" s="38"/>
      <c r="H91" s="12" t="s">
        <v>23</v>
      </c>
      <c r="I91" s="12"/>
      <c r="J91" s="44">
        <v>130005500</v>
      </c>
      <c r="K91" s="49" t="s">
        <v>45</v>
      </c>
      <c r="L91" s="12"/>
    </row>
    <row r="92" spans="1:12" ht="15.75" customHeight="1">
      <c r="A92" s="6" t="s">
        <v>88</v>
      </c>
      <c r="B92" s="6" t="s">
        <v>124</v>
      </c>
      <c r="C92" s="7">
        <v>512</v>
      </c>
      <c r="D92" s="8" t="s">
        <v>125</v>
      </c>
      <c r="E92" s="19">
        <f>3000+1000</f>
        <v>4000</v>
      </c>
      <c r="F92" s="40"/>
      <c r="G92" s="41"/>
      <c r="H92" s="12" t="s">
        <v>23</v>
      </c>
      <c r="I92" s="12"/>
      <c r="J92" s="44"/>
      <c r="K92" s="49" t="s">
        <v>45</v>
      </c>
      <c r="L92" s="12"/>
    </row>
    <row r="93" spans="1:12" ht="15.75" customHeight="1">
      <c r="A93" s="6" t="s">
        <v>88</v>
      </c>
      <c r="B93" s="6" t="s">
        <v>127</v>
      </c>
      <c r="C93" s="7">
        <v>122</v>
      </c>
      <c r="D93" s="8" t="s">
        <v>128</v>
      </c>
      <c r="E93" s="19">
        <v>15000</v>
      </c>
      <c r="F93" s="40"/>
      <c r="G93" s="41"/>
      <c r="H93" s="12" t="s">
        <v>23</v>
      </c>
      <c r="I93" s="12"/>
      <c r="J93" s="44">
        <v>155000</v>
      </c>
      <c r="K93" s="49" t="s">
        <v>45</v>
      </c>
      <c r="L93" s="12"/>
    </row>
    <row r="94" spans="1:12" ht="15.75" customHeight="1">
      <c r="A94" s="6" t="s">
        <v>88</v>
      </c>
      <c r="B94" s="6" t="s">
        <v>127</v>
      </c>
      <c r="C94" s="7">
        <v>482</v>
      </c>
      <c r="D94" s="8" t="s">
        <v>129</v>
      </c>
      <c r="E94" s="19">
        <v>100000</v>
      </c>
      <c r="F94" s="40"/>
      <c r="G94" s="41"/>
      <c r="H94" s="12" t="s">
        <v>23</v>
      </c>
      <c r="I94" s="12"/>
      <c r="J94" s="44">
        <v>10240347.25</v>
      </c>
      <c r="K94" s="49" t="s">
        <v>45</v>
      </c>
      <c r="L94" s="12"/>
    </row>
    <row r="95" spans="1:12" ht="15.75" customHeight="1">
      <c r="A95" s="6" t="s">
        <v>88</v>
      </c>
      <c r="B95" s="6" t="s">
        <v>127</v>
      </c>
      <c r="C95" s="7">
        <v>482</v>
      </c>
      <c r="D95" s="8" t="s">
        <v>125</v>
      </c>
      <c r="E95" s="19">
        <f>7536842.2+5000+1000</f>
        <v>7542842.2000000002</v>
      </c>
      <c r="F95" s="40"/>
      <c r="G95" s="41"/>
      <c r="H95" s="12" t="s">
        <v>23</v>
      </c>
      <c r="I95" s="12"/>
      <c r="J95" s="44"/>
      <c r="K95" s="49" t="s">
        <v>45</v>
      </c>
      <c r="L95" s="12"/>
    </row>
    <row r="96" spans="1:12" ht="15.75" customHeight="1">
      <c r="A96" s="6" t="s">
        <v>88</v>
      </c>
      <c r="B96" s="6" t="s">
        <v>130</v>
      </c>
      <c r="C96" s="8">
        <v>511</v>
      </c>
      <c r="D96" s="8" t="s">
        <v>131</v>
      </c>
      <c r="E96" s="20">
        <v>100000</v>
      </c>
      <c r="F96" s="16" t="s">
        <v>132</v>
      </c>
      <c r="G96" s="50" t="s">
        <v>133</v>
      </c>
      <c r="H96" s="12" t="s">
        <v>23</v>
      </c>
      <c r="I96" s="12"/>
      <c r="J96" s="44">
        <v>4102351.62</v>
      </c>
      <c r="K96" s="49" t="s">
        <v>45</v>
      </c>
      <c r="L96" s="12"/>
    </row>
    <row r="97" spans="1:12" ht="15.75" customHeight="1">
      <c r="A97" s="6" t="s">
        <v>88</v>
      </c>
      <c r="B97" s="6" t="s">
        <v>130</v>
      </c>
      <c r="C97" s="8">
        <v>512</v>
      </c>
      <c r="D97" s="8" t="s">
        <v>125</v>
      </c>
      <c r="E97" s="19">
        <f>1000+3000</f>
        <v>4000</v>
      </c>
      <c r="F97" s="28"/>
      <c r="G97" s="38"/>
      <c r="H97" s="12" t="s">
        <v>23</v>
      </c>
      <c r="I97" s="12"/>
      <c r="J97" s="44"/>
      <c r="K97" s="49" t="s">
        <v>45</v>
      </c>
      <c r="L97" s="12"/>
    </row>
    <row r="98" spans="1:12" ht="15.75" customHeight="1">
      <c r="A98" s="6" t="s">
        <v>88</v>
      </c>
      <c r="B98" s="6" t="s">
        <v>130</v>
      </c>
      <c r="C98" s="8">
        <v>512</v>
      </c>
      <c r="D98" s="8" t="s">
        <v>72</v>
      </c>
      <c r="E98" s="19">
        <v>12771000</v>
      </c>
      <c r="F98" s="28"/>
      <c r="G98" s="38"/>
      <c r="H98" s="12" t="s">
        <v>23</v>
      </c>
      <c r="I98" s="12"/>
      <c r="J98" s="44"/>
      <c r="K98" s="49" t="s">
        <v>45</v>
      </c>
      <c r="L98" s="12"/>
    </row>
    <row r="99" spans="1:12" ht="15.75" customHeight="1">
      <c r="A99" s="6" t="s">
        <v>88</v>
      </c>
      <c r="B99" s="6" t="s">
        <v>130</v>
      </c>
      <c r="C99" s="8">
        <v>512</v>
      </c>
      <c r="D99" s="8" t="s">
        <v>131</v>
      </c>
      <c r="E99" s="19">
        <v>6829000</v>
      </c>
      <c r="F99" s="51">
        <f>43344635.15+33472769.38+126000</f>
        <v>76943404.530000001</v>
      </c>
      <c r="G99" s="38"/>
      <c r="H99" s="12" t="s">
        <v>23</v>
      </c>
      <c r="I99" s="52" t="s">
        <v>134</v>
      </c>
      <c r="J99" s="44"/>
      <c r="K99" s="49" t="s">
        <v>45</v>
      </c>
      <c r="L99" s="51">
        <v>76943404</v>
      </c>
    </row>
    <row r="100" spans="1:12" ht="15.75" customHeight="1">
      <c r="A100" s="53" t="s">
        <v>88</v>
      </c>
      <c r="B100" s="53" t="s">
        <v>130</v>
      </c>
      <c r="C100" s="54">
        <v>512</v>
      </c>
      <c r="D100" s="54" t="s">
        <v>135</v>
      </c>
      <c r="E100" s="55">
        <v>325000</v>
      </c>
      <c r="F100" s="49"/>
      <c r="G100" s="56"/>
      <c r="H100" s="49"/>
      <c r="I100" s="12"/>
      <c r="J100" s="44"/>
      <c r="K100" s="49" t="s">
        <v>45</v>
      </c>
      <c r="L100" s="12"/>
    </row>
    <row r="101" spans="1:12" ht="15.75" customHeight="1">
      <c r="A101" s="6" t="s">
        <v>88</v>
      </c>
      <c r="B101" s="6" t="s">
        <v>74</v>
      </c>
      <c r="C101" s="8">
        <v>122</v>
      </c>
      <c r="D101" s="8" t="s">
        <v>25</v>
      </c>
      <c r="E101" s="19">
        <v>1000</v>
      </c>
      <c r="F101" s="28"/>
      <c r="G101" s="38"/>
      <c r="H101" s="12" t="s">
        <v>23</v>
      </c>
      <c r="I101" s="12"/>
      <c r="J101" s="44">
        <v>16699154.369999999</v>
      </c>
      <c r="K101" s="12"/>
      <c r="L101" s="12"/>
    </row>
    <row r="102" spans="1:12" ht="15.75" customHeight="1">
      <c r="A102" s="6" t="s">
        <v>88</v>
      </c>
      <c r="B102" s="6" t="s">
        <v>74</v>
      </c>
      <c r="C102" s="8">
        <v>542</v>
      </c>
      <c r="D102" s="8" t="s">
        <v>76</v>
      </c>
      <c r="E102" s="19">
        <v>1000</v>
      </c>
      <c r="F102" s="28"/>
      <c r="G102" s="38"/>
      <c r="H102" s="12" t="s">
        <v>23</v>
      </c>
      <c r="I102" s="12"/>
      <c r="J102" s="44">
        <v>6656714.8499999996</v>
      </c>
      <c r="K102" s="12"/>
      <c r="L102" s="12"/>
    </row>
    <row r="103" spans="1:12" ht="15.75" customHeight="1">
      <c r="A103" s="6" t="s">
        <v>88</v>
      </c>
      <c r="B103" s="6" t="s">
        <v>136</v>
      </c>
      <c r="C103" s="8">
        <v>571</v>
      </c>
      <c r="D103" s="8" t="s">
        <v>137</v>
      </c>
      <c r="E103" s="19">
        <v>10</v>
      </c>
      <c r="F103" s="40"/>
      <c r="G103" s="41"/>
      <c r="H103" s="12" t="s">
        <v>23</v>
      </c>
      <c r="I103" s="12"/>
      <c r="J103" s="44">
        <v>3700000</v>
      </c>
      <c r="K103" s="12"/>
      <c r="L103" s="12"/>
    </row>
    <row r="104" spans="1:12" ht="15.75" customHeight="1">
      <c r="A104" s="6" t="s">
        <v>88</v>
      </c>
      <c r="B104" s="6" t="s">
        <v>32</v>
      </c>
      <c r="C104" s="7">
        <v>451</v>
      </c>
      <c r="D104" s="8" t="s">
        <v>33</v>
      </c>
      <c r="E104" s="19">
        <v>1000000</v>
      </c>
      <c r="F104" s="28"/>
      <c r="G104" s="38"/>
      <c r="H104" s="12" t="s">
        <v>23</v>
      </c>
      <c r="I104" s="12"/>
      <c r="J104" s="57">
        <v>114904200</v>
      </c>
      <c r="K104" s="12"/>
      <c r="L104" s="12"/>
    </row>
    <row r="105" spans="1:12" ht="15.75" customHeight="1">
      <c r="A105" s="6" t="s">
        <v>88</v>
      </c>
      <c r="B105" s="6" t="s">
        <v>32</v>
      </c>
      <c r="C105" s="7">
        <v>451</v>
      </c>
      <c r="D105" s="8" t="s">
        <v>138</v>
      </c>
      <c r="E105" s="19">
        <v>2000000</v>
      </c>
      <c r="F105" s="28"/>
      <c r="G105" s="38"/>
      <c r="H105" s="12" t="s">
        <v>23</v>
      </c>
      <c r="I105" s="12"/>
      <c r="J105" s="44">
        <v>25354922.100000001</v>
      </c>
      <c r="K105" s="12"/>
      <c r="L105" s="12"/>
    </row>
    <row r="106" spans="1:12" ht="15.75" customHeight="1">
      <c r="A106" s="6" t="s">
        <v>88</v>
      </c>
      <c r="B106" s="6" t="s">
        <v>32</v>
      </c>
      <c r="C106" s="7">
        <v>608</v>
      </c>
      <c r="D106" s="8" t="s">
        <v>33</v>
      </c>
      <c r="E106" s="19">
        <f>3100000+1000</f>
        <v>3101000</v>
      </c>
      <c r="F106" s="28"/>
      <c r="G106" s="38"/>
      <c r="H106" s="12" t="s">
        <v>23</v>
      </c>
      <c r="I106" s="12"/>
      <c r="J106" s="44"/>
      <c r="K106" s="12"/>
      <c r="L106" s="12"/>
    </row>
    <row r="107" spans="1:12" ht="15.75" customHeight="1">
      <c r="A107" s="6" t="s">
        <v>88</v>
      </c>
      <c r="B107" s="6" t="s">
        <v>139</v>
      </c>
      <c r="C107" s="8">
        <v>127</v>
      </c>
      <c r="D107" s="8" t="s">
        <v>125</v>
      </c>
      <c r="E107" s="19">
        <v>2000</v>
      </c>
      <c r="F107" s="28"/>
      <c r="G107" s="38"/>
      <c r="H107" s="12" t="s">
        <v>23</v>
      </c>
      <c r="I107" s="12"/>
      <c r="J107" s="44"/>
      <c r="K107" s="49" t="s">
        <v>45</v>
      </c>
      <c r="L107" s="12"/>
    </row>
    <row r="108" spans="1:12" ht="288.75">
      <c r="A108" s="6" t="s">
        <v>88</v>
      </c>
      <c r="B108" s="6" t="s">
        <v>140</v>
      </c>
      <c r="C108" s="8">
        <v>122</v>
      </c>
      <c r="D108" s="8" t="s">
        <v>141</v>
      </c>
      <c r="E108" s="19">
        <v>335.17</v>
      </c>
      <c r="F108" s="28"/>
      <c r="G108" s="38"/>
      <c r="H108" s="12" t="s">
        <v>23</v>
      </c>
      <c r="I108" s="52" t="s">
        <v>142</v>
      </c>
      <c r="J108" s="44">
        <v>300373369.75</v>
      </c>
      <c r="K108" s="49" t="s">
        <v>45</v>
      </c>
      <c r="L108" s="12"/>
    </row>
    <row r="109" spans="1:12" ht="31.5">
      <c r="A109" s="6" t="s">
        <v>88</v>
      </c>
      <c r="B109" s="6" t="s">
        <v>140</v>
      </c>
      <c r="C109" s="8">
        <v>451</v>
      </c>
      <c r="D109" s="8" t="s">
        <v>141</v>
      </c>
      <c r="E109" s="19">
        <f>335.17+33.52</f>
        <v>368.69</v>
      </c>
      <c r="F109" s="28"/>
      <c r="G109" s="38"/>
      <c r="H109" s="12" t="s">
        <v>23</v>
      </c>
      <c r="I109" s="12"/>
      <c r="J109" s="44"/>
      <c r="K109" s="49" t="s">
        <v>45</v>
      </c>
      <c r="L109" s="12"/>
    </row>
    <row r="110" spans="1:12" ht="15.75" customHeight="1">
      <c r="A110" s="6" t="s">
        <v>88</v>
      </c>
      <c r="B110" s="6" t="s">
        <v>140</v>
      </c>
      <c r="C110" s="8">
        <v>781</v>
      </c>
      <c r="D110" s="8" t="s">
        <v>141</v>
      </c>
      <c r="E110" s="19">
        <v>750308.03</v>
      </c>
      <c r="F110" s="28"/>
      <c r="G110" s="38"/>
      <c r="H110" s="12" t="s">
        <v>23</v>
      </c>
      <c r="I110" s="12"/>
      <c r="J110" s="44"/>
      <c r="K110" s="49" t="s">
        <v>45</v>
      </c>
      <c r="L110" s="12"/>
    </row>
    <row r="111" spans="1:12" ht="31.5">
      <c r="A111" s="6" t="s">
        <v>88</v>
      </c>
      <c r="B111" s="6" t="s">
        <v>140</v>
      </c>
      <c r="C111" s="8">
        <v>782</v>
      </c>
      <c r="D111" s="8" t="s">
        <v>141</v>
      </c>
      <c r="E111" s="19">
        <f>33.52+147451632.3</f>
        <v>147451665.82000002</v>
      </c>
      <c r="F111" s="58"/>
      <c r="G111" s="38"/>
      <c r="H111" s="12" t="s">
        <v>23</v>
      </c>
      <c r="I111" s="12"/>
      <c r="J111" s="44"/>
      <c r="K111" s="49" t="s">
        <v>45</v>
      </c>
      <c r="L111" s="12"/>
    </row>
    <row r="112" spans="1:12" ht="15.75" customHeight="1">
      <c r="A112" s="6" t="s">
        <v>88</v>
      </c>
      <c r="B112" s="6" t="s">
        <v>143</v>
      </c>
      <c r="C112" s="8">
        <v>812</v>
      </c>
      <c r="D112" s="8" t="s">
        <v>144</v>
      </c>
      <c r="E112" s="19">
        <v>4466051.7300000004</v>
      </c>
      <c r="F112" s="40"/>
      <c r="G112" s="41"/>
      <c r="H112" s="12" t="s">
        <v>23</v>
      </c>
      <c r="I112" s="12"/>
      <c r="J112" s="44">
        <v>20572989.949999999</v>
      </c>
      <c r="K112" s="49" t="s">
        <v>45</v>
      </c>
      <c r="L112" s="12"/>
    </row>
    <row r="115" spans="1:12" ht="22.5" customHeight="1">
      <c r="A115" s="4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13</v>
      </c>
      <c r="H115" s="4" t="s">
        <v>14</v>
      </c>
      <c r="I115" s="4" t="s">
        <v>15</v>
      </c>
      <c r="J115" s="4" t="s">
        <v>16</v>
      </c>
      <c r="K115" s="4" t="s">
        <v>14</v>
      </c>
      <c r="L115" s="4" t="s">
        <v>57</v>
      </c>
    </row>
    <row r="116" spans="1:12" ht="15.75" customHeight="1">
      <c r="A116" s="6" t="s">
        <v>145</v>
      </c>
      <c r="B116" s="6" t="s">
        <v>146</v>
      </c>
      <c r="C116" s="7">
        <v>244</v>
      </c>
      <c r="D116" s="8" t="s">
        <v>110</v>
      </c>
      <c r="E116" s="26">
        <v>6948000</v>
      </c>
      <c r="F116" s="59" t="s">
        <v>147</v>
      </c>
      <c r="G116" s="59" t="s">
        <v>148</v>
      </c>
      <c r="H116" s="12" t="s">
        <v>45</v>
      </c>
      <c r="I116" s="29" t="s">
        <v>149</v>
      </c>
      <c r="J116" s="30">
        <v>30090000</v>
      </c>
      <c r="K116" s="12"/>
      <c r="L116" s="31"/>
    </row>
    <row r="117" spans="1:12" ht="15.75" customHeight="1">
      <c r="A117" s="6" t="s">
        <v>145</v>
      </c>
      <c r="B117" s="6" t="s">
        <v>146</v>
      </c>
      <c r="C117" s="7">
        <v>244</v>
      </c>
      <c r="D117" s="8" t="s">
        <v>150</v>
      </c>
      <c r="E117" s="19">
        <f>529000+50000</f>
        <v>579000</v>
      </c>
      <c r="F117" s="10" t="s">
        <v>151</v>
      </c>
      <c r="G117" s="38"/>
      <c r="H117" s="12" t="s">
        <v>23</v>
      </c>
      <c r="I117" s="36"/>
      <c r="J117" s="44">
        <v>13350000</v>
      </c>
      <c r="K117" s="12"/>
      <c r="L117" s="31"/>
    </row>
    <row r="118" spans="1:12" ht="15.75" customHeight="1">
      <c r="A118" s="6" t="s">
        <v>145</v>
      </c>
      <c r="B118" s="6" t="s">
        <v>152</v>
      </c>
      <c r="C118" s="7">
        <v>422</v>
      </c>
      <c r="D118" s="8" t="s">
        <v>116</v>
      </c>
      <c r="E118" s="19">
        <v>65200</v>
      </c>
      <c r="F118" s="28"/>
      <c r="G118" s="38"/>
      <c r="H118" s="12" t="s">
        <v>45</v>
      </c>
      <c r="I118" s="29" t="s">
        <v>149</v>
      </c>
      <c r="J118" s="44">
        <v>999969618.73000002</v>
      </c>
      <c r="K118" s="12"/>
      <c r="L118" s="31"/>
    </row>
    <row r="119" spans="1:12" ht="15.75" customHeight="1">
      <c r="A119" s="6" t="s">
        <v>145</v>
      </c>
      <c r="B119" s="6" t="s">
        <v>152</v>
      </c>
      <c r="C119" s="7">
        <v>422</v>
      </c>
      <c r="D119" s="8" t="s">
        <v>110</v>
      </c>
      <c r="E119" s="19">
        <v>580000</v>
      </c>
      <c r="F119" s="10" t="s">
        <v>153</v>
      </c>
      <c r="G119" s="38"/>
      <c r="H119" s="12" t="s">
        <v>45</v>
      </c>
      <c r="I119" s="29" t="s">
        <v>149</v>
      </c>
      <c r="J119" s="44"/>
      <c r="K119" s="12"/>
      <c r="L119" s="31"/>
    </row>
    <row r="120" spans="1:12" ht="15.75" customHeight="1">
      <c r="A120" s="6" t="s">
        <v>145</v>
      </c>
      <c r="B120" s="6" t="s">
        <v>152</v>
      </c>
      <c r="C120" s="7">
        <v>422</v>
      </c>
      <c r="D120" s="8" t="s">
        <v>154</v>
      </c>
      <c r="E120" s="19">
        <v>4839000</v>
      </c>
      <c r="F120" s="28"/>
      <c r="G120" s="38"/>
      <c r="H120" s="12" t="s">
        <v>45</v>
      </c>
      <c r="I120" s="29" t="s">
        <v>149</v>
      </c>
      <c r="J120" s="44">
        <v>4900000</v>
      </c>
      <c r="K120" s="12"/>
      <c r="L120" s="31"/>
    </row>
    <row r="121" spans="1:12" ht="15.75" customHeight="1">
      <c r="A121" s="6" t="s">
        <v>145</v>
      </c>
      <c r="B121" s="6" t="s">
        <v>152</v>
      </c>
      <c r="C121" s="7">
        <v>422</v>
      </c>
      <c r="D121" s="8" t="s">
        <v>155</v>
      </c>
      <c r="E121" s="19">
        <f>100000+200000+20000+700000</f>
        <v>1020000</v>
      </c>
      <c r="F121" s="28"/>
      <c r="G121" s="38"/>
      <c r="H121" s="12" t="s">
        <v>45</v>
      </c>
      <c r="I121" s="29" t="s">
        <v>149</v>
      </c>
      <c r="J121" s="44">
        <v>1200000</v>
      </c>
      <c r="K121" s="12"/>
      <c r="L121" s="31"/>
    </row>
    <row r="122" spans="1:12" ht="15.75" customHeight="1">
      <c r="A122" s="6" t="s">
        <v>145</v>
      </c>
      <c r="B122" s="6" t="s">
        <v>152</v>
      </c>
      <c r="C122" s="7">
        <v>422</v>
      </c>
      <c r="D122" s="8" t="s">
        <v>123</v>
      </c>
      <c r="E122" s="26">
        <f>2415560-1937560</f>
        <v>478000</v>
      </c>
      <c r="F122" s="16" t="s">
        <v>156</v>
      </c>
      <c r="G122" s="60" t="s">
        <v>157</v>
      </c>
      <c r="H122" s="12" t="s">
        <v>45</v>
      </c>
      <c r="I122" s="29" t="s">
        <v>149</v>
      </c>
      <c r="J122" s="44" t="s">
        <v>158</v>
      </c>
      <c r="K122" s="12"/>
      <c r="L122" s="31"/>
    </row>
    <row r="123" spans="1:12" ht="15.75" customHeight="1">
      <c r="A123" s="6" t="s">
        <v>145</v>
      </c>
      <c r="B123" s="6" t="s">
        <v>152</v>
      </c>
      <c r="C123" s="7">
        <v>423</v>
      </c>
      <c r="D123" s="8" t="s">
        <v>100</v>
      </c>
      <c r="E123" s="26">
        <v>4000</v>
      </c>
      <c r="F123" s="61" t="s">
        <v>159</v>
      </c>
      <c r="G123" s="62" t="s">
        <v>160</v>
      </c>
      <c r="H123" s="12" t="s">
        <v>23</v>
      </c>
      <c r="I123" s="63"/>
      <c r="J123" s="30">
        <v>3697682</v>
      </c>
      <c r="K123" s="12"/>
      <c r="L123" s="31"/>
    </row>
    <row r="124" spans="1:12" ht="15.75" customHeight="1">
      <c r="A124" s="6" t="s">
        <v>145</v>
      </c>
      <c r="B124" s="6" t="s">
        <v>139</v>
      </c>
      <c r="C124" s="7">
        <v>127</v>
      </c>
      <c r="D124" s="8" t="s">
        <v>125</v>
      </c>
      <c r="E124" s="19">
        <v>1151000</v>
      </c>
      <c r="F124" s="28"/>
      <c r="G124" s="38"/>
      <c r="H124" s="12" t="s">
        <v>45</v>
      </c>
      <c r="I124" s="39" t="s">
        <v>149</v>
      </c>
      <c r="J124" s="44">
        <v>71897656</v>
      </c>
      <c r="K124" s="12"/>
      <c r="L124" s="31"/>
    </row>
    <row r="125" spans="1:12" ht="15.75" customHeight="1">
      <c r="A125" s="6" t="s">
        <v>145</v>
      </c>
      <c r="B125" s="6" t="s">
        <v>139</v>
      </c>
      <c r="C125" s="7">
        <v>127</v>
      </c>
      <c r="D125" s="8" t="s">
        <v>161</v>
      </c>
      <c r="E125" s="26">
        <v>12187135.52</v>
      </c>
      <c r="F125" s="16" t="s">
        <v>162</v>
      </c>
      <c r="G125" s="64" t="s">
        <v>163</v>
      </c>
      <c r="H125" s="12" t="s">
        <v>45</v>
      </c>
      <c r="I125" s="39" t="s">
        <v>149</v>
      </c>
      <c r="J125" s="44">
        <v>12241135.52</v>
      </c>
      <c r="K125" s="12"/>
      <c r="L125" s="31"/>
    </row>
    <row r="126" spans="1:12" ht="15.75" customHeight="1">
      <c r="A126" s="32"/>
      <c r="B126" s="65"/>
      <c r="C126" s="33"/>
      <c r="D126" s="33"/>
      <c r="E126" s="34"/>
      <c r="F126" s="12"/>
      <c r="G126" s="36"/>
      <c r="H126" s="36"/>
      <c r="I126" s="36"/>
      <c r="J126" s="37"/>
      <c r="K126" s="36"/>
      <c r="L126" s="37"/>
    </row>
    <row r="127" spans="1:12" ht="15.75" customHeight="1">
      <c r="A127" s="32"/>
      <c r="B127" s="65"/>
      <c r="C127" s="33"/>
      <c r="D127" s="33"/>
      <c r="E127" s="34"/>
      <c r="F127" s="12"/>
      <c r="G127" s="36"/>
      <c r="H127" s="36"/>
      <c r="I127" s="36"/>
      <c r="J127" s="37"/>
      <c r="K127" s="36"/>
      <c r="L127" s="37"/>
    </row>
    <row r="128" spans="1:12" ht="15.75" customHeight="1">
      <c r="A128" s="32"/>
      <c r="B128" s="65"/>
      <c r="C128" s="33"/>
      <c r="D128" s="33"/>
      <c r="E128" s="34"/>
      <c r="F128" s="12"/>
      <c r="G128" s="36"/>
      <c r="H128" s="36"/>
      <c r="I128" s="36"/>
      <c r="J128" s="37"/>
      <c r="K128" s="36"/>
      <c r="L128" s="37"/>
    </row>
    <row r="129" spans="1:12" ht="15.75" customHeight="1">
      <c r="A129" s="4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13</v>
      </c>
      <c r="H129" s="4" t="s">
        <v>14</v>
      </c>
      <c r="I129" s="4" t="s">
        <v>15</v>
      </c>
      <c r="J129" s="4" t="s">
        <v>16</v>
      </c>
      <c r="K129" s="4" t="s">
        <v>14</v>
      </c>
      <c r="L129" s="4" t="s">
        <v>57</v>
      </c>
    </row>
    <row r="130" spans="1:12" ht="15.75" customHeight="1">
      <c r="A130" s="6" t="s">
        <v>164</v>
      </c>
      <c r="B130" s="6" t="s">
        <v>165</v>
      </c>
      <c r="C130" s="7">
        <v>124</v>
      </c>
      <c r="D130" s="8" t="s">
        <v>166</v>
      </c>
      <c r="E130" s="19">
        <v>660000</v>
      </c>
      <c r="F130" s="12" t="s">
        <v>167</v>
      </c>
      <c r="G130" s="41"/>
      <c r="H130" s="12" t="s">
        <v>45</v>
      </c>
      <c r="I130" s="39" t="s">
        <v>168</v>
      </c>
      <c r="J130" s="44">
        <v>4000000</v>
      </c>
      <c r="K130" s="12"/>
      <c r="L130" s="31"/>
    </row>
    <row r="131" spans="1:12" ht="31.5">
      <c r="A131" s="6" t="s">
        <v>164</v>
      </c>
      <c r="B131" s="6" t="s">
        <v>20</v>
      </c>
      <c r="C131" s="7">
        <v>541</v>
      </c>
      <c r="D131" s="8" t="s">
        <v>25</v>
      </c>
      <c r="E131" s="19">
        <v>11000</v>
      </c>
      <c r="F131" s="12" t="s">
        <v>169</v>
      </c>
      <c r="G131" s="36"/>
      <c r="H131" s="12" t="s">
        <v>23</v>
      </c>
      <c r="I131" s="44"/>
      <c r="J131" s="44">
        <v>16699154.369999999</v>
      </c>
      <c r="K131" s="12"/>
      <c r="L131" s="31"/>
    </row>
    <row r="132" spans="1:12" ht="31.5">
      <c r="A132" s="6" t="s">
        <v>164</v>
      </c>
      <c r="B132" s="6" t="s">
        <v>20</v>
      </c>
      <c r="C132" s="7">
        <v>541</v>
      </c>
      <c r="D132" s="8" t="s">
        <v>77</v>
      </c>
      <c r="E132" s="19">
        <v>3000</v>
      </c>
      <c r="F132" s="12"/>
      <c r="G132" s="36"/>
      <c r="H132" s="12" t="s">
        <v>23</v>
      </c>
      <c r="I132" s="44"/>
      <c r="J132" s="44">
        <v>275000</v>
      </c>
      <c r="K132" s="12"/>
      <c r="L132" s="31"/>
    </row>
    <row r="133" spans="1:12" ht="15.75" customHeight="1">
      <c r="A133" s="32"/>
      <c r="B133" s="32"/>
      <c r="C133" s="66"/>
      <c r="D133" s="33"/>
      <c r="E133" s="67"/>
      <c r="F133" s="12"/>
      <c r="G133" s="36"/>
      <c r="H133" s="36"/>
      <c r="I133" s="36"/>
      <c r="J133" s="37"/>
      <c r="K133" s="12"/>
      <c r="L133" s="37"/>
    </row>
    <row r="134" spans="1:12" ht="15.75" customHeight="1">
      <c r="A134" s="32"/>
      <c r="B134" s="32"/>
      <c r="C134" s="66"/>
      <c r="D134" s="33"/>
      <c r="E134" s="67"/>
      <c r="F134" s="12"/>
      <c r="G134" s="36"/>
      <c r="H134" s="36"/>
      <c r="I134" s="36"/>
      <c r="J134" s="37"/>
      <c r="K134" s="12"/>
      <c r="L134" s="37"/>
    </row>
    <row r="135" spans="1:12" ht="15.75" customHeight="1">
      <c r="A135" s="32"/>
      <c r="B135" s="32"/>
      <c r="C135" s="66"/>
      <c r="D135" s="33"/>
      <c r="E135" s="67"/>
      <c r="F135" s="12"/>
      <c r="G135" s="36"/>
      <c r="H135" s="36"/>
      <c r="I135" s="36"/>
      <c r="J135" s="37"/>
      <c r="K135" s="36"/>
      <c r="L135" s="37"/>
    </row>
    <row r="136" spans="1:12" ht="15.75" customHeight="1">
      <c r="A136" s="4" t="s">
        <v>7</v>
      </c>
      <c r="B136" s="5" t="s">
        <v>8</v>
      </c>
      <c r="C136" s="5" t="s">
        <v>9</v>
      </c>
      <c r="D136" s="5" t="s">
        <v>10</v>
      </c>
      <c r="E136" s="5" t="s">
        <v>11</v>
      </c>
      <c r="F136" s="5" t="s">
        <v>12</v>
      </c>
      <c r="G136" s="5" t="s">
        <v>13</v>
      </c>
      <c r="H136" s="4" t="s">
        <v>14</v>
      </c>
      <c r="I136" s="4" t="s">
        <v>15</v>
      </c>
      <c r="J136" s="4" t="s">
        <v>16</v>
      </c>
      <c r="K136" s="4" t="s">
        <v>14</v>
      </c>
      <c r="L136" s="4" t="s">
        <v>57</v>
      </c>
    </row>
    <row r="137" spans="1:12" ht="15.75" customHeight="1">
      <c r="A137" s="6" t="s">
        <v>170</v>
      </c>
      <c r="B137" s="6" t="s">
        <v>171</v>
      </c>
      <c r="C137" s="7">
        <v>364</v>
      </c>
      <c r="D137" s="8" t="s">
        <v>116</v>
      </c>
      <c r="E137" s="19">
        <v>0</v>
      </c>
      <c r="F137" s="12"/>
      <c r="G137" s="36"/>
      <c r="H137" s="12"/>
      <c r="I137" s="36"/>
      <c r="J137" s="44"/>
      <c r="K137" s="12"/>
      <c r="L137" s="31"/>
    </row>
    <row r="138" spans="1:12" ht="15.75" customHeight="1">
      <c r="A138" s="6" t="s">
        <v>170</v>
      </c>
      <c r="B138" s="6" t="s">
        <v>171</v>
      </c>
      <c r="C138" s="7">
        <v>365</v>
      </c>
      <c r="D138" s="8" t="s">
        <v>116</v>
      </c>
      <c r="E138" s="19">
        <v>0</v>
      </c>
      <c r="F138" s="12"/>
      <c r="G138" s="36"/>
      <c r="H138" s="12"/>
      <c r="I138" s="36"/>
      <c r="J138" s="44"/>
      <c r="K138" s="12"/>
      <c r="L138" s="31"/>
    </row>
    <row r="139" spans="1:12" ht="15.75" customHeight="1">
      <c r="A139" s="6" t="s">
        <v>170</v>
      </c>
      <c r="B139" s="6" t="s">
        <v>171</v>
      </c>
      <c r="C139" s="7">
        <v>368</v>
      </c>
      <c r="D139" s="8" t="s">
        <v>116</v>
      </c>
      <c r="E139" s="19">
        <v>0</v>
      </c>
      <c r="F139" s="12"/>
      <c r="G139" s="36"/>
      <c r="H139" s="12"/>
      <c r="I139" s="36"/>
      <c r="J139" s="44"/>
      <c r="K139" s="12"/>
      <c r="L139" s="31"/>
    </row>
    <row r="140" spans="1:12" ht="15.75" customHeight="1">
      <c r="A140" s="6" t="s">
        <v>170</v>
      </c>
      <c r="B140" s="6" t="s">
        <v>74</v>
      </c>
      <c r="C140" s="8">
        <v>542</v>
      </c>
      <c r="D140" s="8" t="s">
        <v>172</v>
      </c>
      <c r="E140" s="19">
        <v>1000</v>
      </c>
      <c r="F140" s="12"/>
      <c r="G140" s="36"/>
      <c r="H140" s="12" t="s">
        <v>23</v>
      </c>
      <c r="I140" s="36"/>
      <c r="J140" s="44">
        <v>5004200</v>
      </c>
      <c r="K140" s="12"/>
      <c r="L140" s="31"/>
    </row>
    <row r="141" spans="1:12" ht="15.75" customHeight="1">
      <c r="A141" s="6" t="s">
        <v>170</v>
      </c>
      <c r="B141" s="6" t="s">
        <v>74</v>
      </c>
      <c r="C141" s="8">
        <v>542</v>
      </c>
      <c r="D141" s="8" t="s">
        <v>76</v>
      </c>
      <c r="E141" s="19">
        <v>1000</v>
      </c>
      <c r="F141" s="12"/>
      <c r="G141" s="36"/>
      <c r="H141" s="12" t="s">
        <v>23</v>
      </c>
      <c r="I141" s="36"/>
      <c r="J141" s="44">
        <v>6656714.8499999996</v>
      </c>
      <c r="K141" s="12"/>
      <c r="L141" s="31"/>
    </row>
    <row r="142" spans="1:12" ht="15.75" customHeight="1">
      <c r="A142" s="6" t="s">
        <v>170</v>
      </c>
      <c r="B142" s="6" t="s">
        <v>173</v>
      </c>
      <c r="C142" s="7">
        <v>571</v>
      </c>
      <c r="D142" s="8" t="s">
        <v>137</v>
      </c>
      <c r="E142" s="19">
        <v>60</v>
      </c>
      <c r="F142" s="12"/>
      <c r="G142" s="36"/>
      <c r="H142" s="12" t="s">
        <v>23</v>
      </c>
      <c r="I142" s="36"/>
      <c r="J142" s="44">
        <v>3700000</v>
      </c>
      <c r="K142" s="12"/>
      <c r="L142" s="31"/>
    </row>
    <row r="143" spans="1:12" ht="15.75" customHeight="1">
      <c r="A143" s="6" t="s">
        <v>170</v>
      </c>
      <c r="B143" s="6" t="s">
        <v>173</v>
      </c>
      <c r="C143" s="7">
        <v>573</v>
      </c>
      <c r="D143" s="8" t="s">
        <v>174</v>
      </c>
      <c r="E143" s="19">
        <v>1156490</v>
      </c>
      <c r="F143" s="12"/>
      <c r="G143" s="36"/>
      <c r="H143" s="12" t="s">
        <v>23</v>
      </c>
      <c r="I143" s="36"/>
      <c r="J143" s="44">
        <v>1676475</v>
      </c>
      <c r="K143" s="12"/>
      <c r="L143" s="31"/>
    </row>
    <row r="144" spans="1:12" ht="15.75" customHeight="1">
      <c r="A144" s="6" t="s">
        <v>170</v>
      </c>
      <c r="B144" s="6" t="s">
        <v>175</v>
      </c>
      <c r="C144" s="7">
        <v>573</v>
      </c>
      <c r="D144" s="8" t="s">
        <v>176</v>
      </c>
      <c r="E144" s="19">
        <v>1020000</v>
      </c>
      <c r="F144" s="12"/>
      <c r="G144" s="36"/>
      <c r="H144" s="12" t="s">
        <v>23</v>
      </c>
      <c r="I144" s="36"/>
      <c r="J144" s="44">
        <v>6000000</v>
      </c>
      <c r="K144" s="12"/>
      <c r="L144" s="31"/>
    </row>
    <row r="145" spans="1:12" ht="15.75" customHeight="1">
      <c r="A145" s="6" t="s">
        <v>170</v>
      </c>
      <c r="B145" s="6" t="s">
        <v>175</v>
      </c>
      <c r="C145" s="7">
        <v>573</v>
      </c>
      <c r="D145" s="8" t="s">
        <v>137</v>
      </c>
      <c r="E145" s="19">
        <v>700050</v>
      </c>
      <c r="F145" s="12"/>
      <c r="G145" s="36"/>
      <c r="H145" s="12" t="s">
        <v>23</v>
      </c>
      <c r="I145" s="36"/>
      <c r="J145" s="44"/>
      <c r="K145" s="12"/>
      <c r="L145" s="31"/>
    </row>
    <row r="146" spans="1:12" ht="15.75" customHeight="1">
      <c r="A146" s="32"/>
      <c r="B146" s="32"/>
      <c r="C146" s="66"/>
      <c r="D146" s="33"/>
      <c r="E146" s="67"/>
      <c r="F146" s="12"/>
      <c r="G146" s="36"/>
      <c r="H146" s="36"/>
      <c r="I146" s="36"/>
      <c r="J146" s="37"/>
      <c r="K146" s="36"/>
      <c r="L146" s="37"/>
    </row>
    <row r="147" spans="1:12" ht="15.75" customHeight="1">
      <c r="A147" s="32"/>
      <c r="B147" s="32"/>
      <c r="C147" s="66"/>
      <c r="D147" s="33"/>
      <c r="E147" s="67"/>
      <c r="F147" s="12"/>
      <c r="G147" s="36"/>
      <c r="H147" s="36"/>
      <c r="I147" s="36"/>
      <c r="J147" s="37"/>
      <c r="K147" s="36"/>
      <c r="L147" s="37"/>
    </row>
    <row r="148" spans="1:12" ht="15.75" customHeight="1">
      <c r="A148" s="32"/>
      <c r="B148" s="32"/>
      <c r="C148" s="66"/>
      <c r="D148" s="33"/>
      <c r="E148" s="67"/>
      <c r="F148" s="12"/>
      <c r="G148" s="36"/>
      <c r="H148" s="36"/>
      <c r="I148" s="36"/>
      <c r="J148" s="37"/>
      <c r="K148" s="36"/>
      <c r="L148" s="37"/>
    </row>
    <row r="149" spans="1:12" ht="15.75" customHeight="1">
      <c r="A149" s="4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13</v>
      </c>
      <c r="H149" s="4" t="s">
        <v>14</v>
      </c>
      <c r="I149" s="4" t="s">
        <v>15</v>
      </c>
      <c r="J149" s="4" t="s">
        <v>16</v>
      </c>
      <c r="K149" s="4" t="s">
        <v>14</v>
      </c>
      <c r="L149" s="4" t="s">
        <v>57</v>
      </c>
    </row>
    <row r="150" spans="1:12" ht="15.75" customHeight="1">
      <c r="A150" s="6" t="s">
        <v>177</v>
      </c>
      <c r="B150" s="6" t="s">
        <v>101</v>
      </c>
      <c r="C150" s="7">
        <v>182</v>
      </c>
      <c r="D150" s="8" t="s">
        <v>104</v>
      </c>
      <c r="E150" s="19">
        <f>589667+4000</f>
        <v>593667</v>
      </c>
      <c r="F150" s="12"/>
      <c r="G150" s="36"/>
      <c r="H150" s="12" t="s">
        <v>23</v>
      </c>
      <c r="I150" s="36"/>
      <c r="J150" s="44">
        <v>35844948.240000002</v>
      </c>
      <c r="K150" s="12"/>
      <c r="L150" s="31"/>
    </row>
    <row r="151" spans="1:12" ht="15.75" customHeight="1">
      <c r="A151" s="6" t="s">
        <v>177</v>
      </c>
      <c r="B151" s="6" t="s">
        <v>101</v>
      </c>
      <c r="C151" s="7">
        <v>182</v>
      </c>
      <c r="D151" s="8" t="s">
        <v>102</v>
      </c>
      <c r="E151" s="19">
        <v>17753000</v>
      </c>
      <c r="F151" s="17"/>
      <c r="G151" s="36"/>
      <c r="H151" s="12" t="s">
        <v>23</v>
      </c>
      <c r="I151" s="36"/>
      <c r="J151" s="44">
        <v>17760000</v>
      </c>
      <c r="K151" s="12"/>
      <c r="L151" s="31"/>
    </row>
    <row r="152" spans="1:12" ht="15.75" customHeight="1">
      <c r="A152" s="6" t="s">
        <v>145</v>
      </c>
      <c r="B152" s="6" t="s">
        <v>146</v>
      </c>
      <c r="C152" s="7">
        <v>244</v>
      </c>
      <c r="D152" s="8" t="s">
        <v>150</v>
      </c>
      <c r="E152" s="19">
        <v>250000</v>
      </c>
      <c r="F152" s="10" t="s">
        <v>178</v>
      </c>
      <c r="G152" s="36"/>
      <c r="H152" s="12" t="s">
        <v>23</v>
      </c>
      <c r="I152" s="36"/>
      <c r="J152" s="44">
        <v>13350000</v>
      </c>
      <c r="K152" s="49" t="s">
        <v>45</v>
      </c>
      <c r="L152" s="31"/>
    </row>
    <row r="153" spans="1:12" ht="15.75" customHeight="1"/>
    <row r="154" spans="1:12" ht="15.75" customHeight="1">
      <c r="E154" s="68">
        <f>SUM(E7:E152)</f>
        <v>1067271400.3599999</v>
      </c>
    </row>
    <row r="155" spans="1:12" ht="15.75" customHeight="1">
      <c r="F155" s="69" t="s">
        <v>179</v>
      </c>
    </row>
    <row r="156" spans="1:12" ht="15.75" customHeight="1">
      <c r="E156" s="70"/>
      <c r="F156" s="71">
        <v>13816758632.85</v>
      </c>
    </row>
    <row r="157" spans="1:12" ht="15.75" customHeight="1"/>
    <row r="158" spans="1:12" ht="15.75" customHeight="1"/>
    <row r="159" spans="1:12" ht="15.75" customHeight="1"/>
    <row r="160" spans="1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</sheetData>
  <customSheetViews>
    <customSheetView guid="{1723B61F-0CBB-49AD-A885-BA04BC21ECD0}" filter="1" showAutoFilter="1">
      <pageMargins left="0.511811024" right="0.511811024" top="0.78740157499999996" bottom="0.78740157499999996" header="0.31496062000000002" footer="0.31496062000000002"/>
      <autoFilter ref="A26:L26" xr:uid="{99144956-CAF3-4C8E-BB16-02AD20C22847}">
        <sortState xmlns:xlrd2="http://schemas.microsoft.com/office/spreadsheetml/2017/richdata2" ref="A26:L26">
          <sortCondition ref="D26"/>
        </sortState>
      </autoFilter>
    </customSheetView>
    <customSheetView guid="{DC560D2A-7DA1-4CF8-88F3-D7014F719F40}" filter="1" showAutoFilter="1">
      <pageMargins left="0.511811024" right="0.511811024" top="0.78740157499999996" bottom="0.78740157499999996" header="0.31496062000000002" footer="0.31496062000000002"/>
      <autoFilter ref="A26:L26" xr:uid="{009398FD-3C7D-4E9B-AFDE-EE308F07BF61}">
        <sortState xmlns:xlrd2="http://schemas.microsoft.com/office/spreadsheetml/2017/richdata2" ref="A26:L26">
          <sortCondition ref="D26"/>
        </sortState>
      </autoFilter>
    </customSheetView>
    <customSheetView guid="{CFB8DD1F-B306-4C45-BBCE-30BAFC05F82A}" filter="1" showAutoFilter="1">
      <pageMargins left="0.511811024" right="0.511811024" top="0.78740157499999996" bottom="0.78740157499999996" header="0.31496062000000002" footer="0.31496062000000002"/>
      <autoFilter ref="A6:L24" xr:uid="{8482A509-09B7-49CB-A16A-299774F7FA9D}"/>
    </customSheetView>
    <customSheetView guid="{C226DD3B-1CDE-4315-9B9A-43362ED13F36}" filter="1" showAutoFilter="1">
      <pageMargins left="0.511811024" right="0.511811024" top="0.78740157499999996" bottom="0.78740157499999996" header="0.31496062000000002" footer="0.31496062000000002"/>
      <autoFilter ref="A26:L26" xr:uid="{17422AF3-36E2-43F8-AEAE-BC01470DFDCD}"/>
    </customSheetView>
    <customSheetView guid="{5A2EADFB-0565-4F18-B0CF-816C3B3987E8}" filter="1" showAutoFilter="1">
      <pageMargins left="0.511811024" right="0.511811024" top="0.78740157499999996" bottom="0.78740157499999996" header="0.31496062000000002" footer="0.31496062000000002"/>
      <autoFilter ref="A26:L26" xr:uid="{CAA46525-867D-404B-9386-D59F25053357}"/>
    </customSheetView>
    <customSheetView guid="{163F5B3C-5AAC-4712-BBF1-15CC4D5FE810}" filter="1" showAutoFilter="1">
      <pageMargins left="0.511811024" right="0.511811024" top="0.78740157499999996" bottom="0.78740157499999996" header="0.31496062000000002" footer="0.31496062000000002"/>
      <autoFilter ref="A6:L24" xr:uid="{7D6DCFF2-2651-4B5F-AF03-85F9B436E5FA}">
        <sortState xmlns:xlrd2="http://schemas.microsoft.com/office/spreadsheetml/2017/richdata2" ref="A9:L24">
          <sortCondition ref="D6:D24"/>
        </sortState>
      </autoFilter>
    </customSheetView>
    <customSheetView guid="{EB3044E7-C60A-4209-BD6B-F8A36D0666E9}" filter="1" showAutoFilter="1">
      <pageMargins left="0.511811024" right="0.511811024" top="0.78740157499999996" bottom="0.78740157499999996" header="0.31496062000000002" footer="0.31496062000000002"/>
      <autoFilter ref="A6:L24" xr:uid="{C68ACDA6-8083-471A-83C4-FE8AF83E7534}"/>
    </customSheetView>
    <customSheetView guid="{37F47BC3-F859-4921-B1FB-1DB562960765}" filter="1" showAutoFilter="1">
      <pageMargins left="0.511811024" right="0.511811024" top="0.78740157499999996" bottom="0.78740157499999996" header="0.31496062000000002" footer="0.31496062000000002"/>
      <autoFilter ref="A26:L26" xr:uid="{43CFA953-3C54-41C5-BEDC-EC25EB0E1C4C}">
        <sortState xmlns:xlrd2="http://schemas.microsoft.com/office/spreadsheetml/2017/richdata2" ref="A26:L26">
          <sortCondition ref="D26"/>
        </sortState>
      </autoFilter>
    </customSheetView>
    <customSheetView guid="{351CEED0-FEF4-4578-9721-DAFCBB80B5A1}" filter="1" showAutoFilter="1">
      <pageMargins left="0.511811024" right="0.511811024" top="0.78740157499999996" bottom="0.78740157499999996" header="0.31496062000000002" footer="0.31496062000000002"/>
      <autoFilter ref="A6:L24" xr:uid="{8F47CDDA-BB8A-4F10-8996-354426578AD3}"/>
    </customSheetView>
    <customSheetView guid="{27029C99-1B8F-435A-A921-6D11F4AD659E}" filter="1" showAutoFilter="1">
      <pageMargins left="0.511811024" right="0.511811024" top="0.78740157499999996" bottom="0.78740157499999996" header="0.31496062000000002" footer="0.31496062000000002"/>
      <autoFilter ref="A26:L26" xr:uid="{198DDD06-3A23-4A85-B391-9D58F2CB76CE}"/>
    </customSheetView>
  </customSheetViews>
  <mergeCells count="7">
    <mergeCell ref="A1:G1"/>
    <mergeCell ref="H1:I1"/>
    <mergeCell ref="K1:L1"/>
    <mergeCell ref="A2:A5"/>
    <mergeCell ref="B2:B5"/>
    <mergeCell ref="C2:C5"/>
    <mergeCell ref="D2:G5"/>
  </mergeCells>
  <dataValidations count="2">
    <dataValidation type="custom" allowBlank="1" showDropDown="1" sqref="E7:E24 J7:J24" xr:uid="{00000000-0002-0000-0000-000000000000}">
      <formula1>AND(ISNUMBER(E7),(NOT(OR(NOT(ISERROR(DATEVALUE(E7))), AND(ISNUMBER(E7), LEFT(CELL("format", E7))="D")))))</formula1>
    </dataValidation>
    <dataValidation type="list" allowBlank="1" showErrorMessage="1" sqref="H7:H23 H27:H49 K53:K60 K62:K100 H53:H112 K107:K112 H116:H125 H130:H132 H137:H145 H150:H152 K152" xr:uid="{00000000-0002-0000-0000-000001000000}">
      <formula1>"Exclusivo,Não Exclusivo"</formula1>
    </dataValidation>
  </dataValidations>
  <pageMargins left="0.511811024" right="0.511811024" top="0.78740157499999996" bottom="0.78740157499999996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QDD - ORÇAMENTO CLIMÁTICO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Carneiro de Farias</dc:creator>
  <cp:lastModifiedBy>Vinicius Carneiro de Farias</cp:lastModifiedBy>
  <dcterms:modified xsi:type="dcterms:W3CDTF">2026-07-27T13:56:41Z</dcterms:modified>
</cp:coreProperties>
</file>